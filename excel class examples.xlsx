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xl/connections.xml" ContentType="application/vnd.openxmlformats-officedocument.spreadsheetml.connections+xml"/>
  <Override PartName="/xl/metadata.xml" ContentType="application/vnd.openxmlformats-officedocument.spreadsheetml.sheetMetadata+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s/slicer1.xml" ContentType="application/vnd.ms-excel.slicer+xml"/>
  <Override PartName="/xl/slicers/slicer2.xml" ContentType="application/vnd.ms-excel.slicer+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29231"/>
  <mc:AlternateContent xmlns:mc="http://schemas.openxmlformats.org/markup-compatibility/2006">
    <mc:Choice Requires="x15">
      <x15ac:absPath xmlns:x15ac="http://schemas.microsoft.com/office/spreadsheetml/2010/11/ac" url="C:\Users\Sushant Singh\Desktop\"/>
    </mc:Choice>
  </mc:AlternateContent>
  <bookViews>
    <workbookView xWindow="-108" yWindow="-108" windowWidth="23256" windowHeight="12456" firstSheet="20" activeTab="19"/>
  </bookViews>
  <sheets>
    <sheet name="FUNCTION" sheetId="1" r:id="rId1"/>
    <sheet name="FORMULA" sheetId="37" r:id="rId2"/>
    <sheet name="BASIC CHARTS" sheetId="38" r:id="rId3"/>
    <sheet name="DATE FORMATTING" sheetId="24" r:id="rId4"/>
    <sheet name="TEXT FUNCTION" sheetId="25" r:id="rId5"/>
    <sheet name="IF FUNCTION" sheetId="43" r:id="rId6"/>
    <sheet name="IF FUN" sheetId="32" r:id="rId7"/>
    <sheet name="IF (SUM IF,AVGIF,NESTED IF)" sheetId="51" r:id="rId8"/>
    <sheet name="IF &amp; IFs FUNCTION" sheetId="47" r:id="rId9"/>
    <sheet name="SLICER NORMAL TABLE" sheetId="46" r:id="rId10"/>
    <sheet name="PIVOT TABLE" sheetId="28" r:id="rId11"/>
    <sheet name="LOGICAL OPERATORS" sheetId="29" r:id="rId12"/>
    <sheet name="LOGICAL FUNCTIONS" sheetId="30" r:id="rId13"/>
    <sheet name="HLOOKUP" sheetId="33" r:id="rId14"/>
    <sheet name="VLOOKUP" sheetId="34" r:id="rId15"/>
    <sheet name="LOOKUP" sheetId="35" r:id="rId16"/>
    <sheet name="XLOOKUP" sheetId="36" r:id="rId17"/>
    <sheet name="SPECIAL PASTE" sheetId="48" r:id="rId18"/>
    <sheet name="DATA VALIDATION" sheetId="49" r:id="rId19"/>
    <sheet name="CONDITIONAL FORMATTING" sheetId="50" r:id="rId20"/>
    <sheet name="UNCLEAN" sheetId="53" r:id="rId21"/>
    <sheet name="CLEAN DATA ( IN CHART &amp; TABLE)" sheetId="55" r:id="rId22"/>
    <sheet name="DASHBOARD" sheetId="56" r:id="rId23"/>
  </sheets>
  <externalReferences>
    <externalReference r:id="rId24"/>
  </externalReferences>
  <definedNames>
    <definedName name="button">'[1]Scenario manager'!#REF!</definedName>
    <definedName name="GRADES">'[1]Data for dropdown'!$F$4:$F$10</definedName>
    <definedName name="NativeTimeline_Date">#REF!</definedName>
    <definedName name="Sales">#REF!</definedName>
    <definedName name="Sceen">'[1]Scenario manager'!#REF!</definedName>
    <definedName name="Slicer_Products">#REF!</definedName>
    <definedName name="Slicer_Region">#REF!</definedName>
    <definedName name="Slicer_Region1">#N/A</definedName>
    <definedName name="Slicer_TAB.Medicines">#N/A</definedName>
    <definedName name="Total">'[1]Data Table'!#REF!</definedName>
    <definedName name="Type_of_data">'[1]Dependent dropdown'!#REF!</definedName>
    <definedName name="_xlnm._FilterDatabase" localSheetId="7" hidden="1">'IF (SUM IF,AVGIF,NESTED IF)'!$B$2:$E$2</definedName>
    <definedName name="ExternalData_2" localSheetId="21" hidden="1">'CLEAN DATA ( IN CHART &amp; TABLE)'!$B$2:$G$10</definedName>
    <definedName name="ExternalData_2" localSheetId="22" hidden="1">DASHBOARD!#REF!</definedName>
  </definedNames>
  <calcPr/>
  <pivotCaches>
    <pivotCache cacheId="0" r:id="rId25"/>
    <pivotCache cacheId="1" r:id="rId26"/>
    <pivotCache cacheId="2" r:id="rId27"/>
  </pivotCaches>
  <extLst>
    <ext xmlns:x14="http://schemas.microsoft.com/office/spreadsheetml/2009/9/main" uri="{BBE1A952-AA13-448e-AADC-164F8A28A991}">
      <x14:slicerCaches>
        <x14:slicerCache r:id="rId28"/>
      </x14:slicerCaches>
    </ext>
    <ext xmlns:x15="http://schemas.microsoft.com/office/spreadsheetml/2010/11/main" uri="{46BE6895-7355-4a93-B00E-2C351335B9C9}">
      <x15:slicerCaches>
        <x14:slicerCache xmlns:x14="http://schemas.microsoft.com/office/spreadsheetml/2009/9/main" r:id="rId29"/>
      </x15:slicerCaches>
    </ext>
  </extLst>
</workbook>
</file>

<file path=xl/calcChain.xml><?xml version="1.0" encoding="utf-8"?>
<calcChain xmlns="http://schemas.openxmlformats.org/spreadsheetml/2006/main">
  <c i="51" l="1" r="H7"/>
  <c r="H6"/>
  <c r="H5"/>
  <c r="H4"/>
  <c r="G7"/>
  <c r="G6"/>
  <c r="G5"/>
  <c r="G4"/>
  <c i="36" r="D29"/>
  <c r="D30"/>
  <c r="D31"/>
  <c r="D32"/>
  <c r="D33"/>
  <c r="D34"/>
  <c r="D35"/>
  <c r="D36"/>
  <c r="D28"/>
  <c r="C31"/>
  <c r="C29"/>
  <c r="C30"/>
  <c r="C32"/>
  <c r="C33"/>
  <c r="C34"/>
  <c r="C35"/>
  <c r="C36"/>
  <c r="C28"/>
  <c r="H11"/>
  <c r="I7"/>
  <c r="I8"/>
  <c r="I9"/>
  <c r="I10"/>
  <c r="I11"/>
  <c r="H6"/>
  <c r="I6"/>
  <c r="I5"/>
  <c r="H7"/>
  <c r="H8"/>
  <c r="H9"/>
  <c r="H10"/>
  <c r="H5"/>
  <c a="1" i="47" r="H3"/>
  <c r="H3"/>
  <c a="1" r="H2"/>
  <c r="H2"/>
  <c i="35" r="G5"/>
  <c r="J18"/>
  <c r="J19"/>
  <c r="J20"/>
  <c r="J21"/>
  <c r="J22"/>
  <c r="J23"/>
  <c r="J17"/>
  <c r="I18"/>
  <c r="I19"/>
  <c r="I20"/>
  <c r="I21"/>
  <c r="I22"/>
  <c r="I23"/>
  <c r="I17"/>
  <c r="H18"/>
  <c r="H19"/>
  <c r="H20"/>
  <c r="H21"/>
  <c r="H22"/>
  <c r="H23"/>
  <c r="H17"/>
  <c r="G6"/>
  <c r="G7"/>
  <c r="G8"/>
  <c i="34" r="N6"/>
  <c r="O6"/>
  <c r="I6"/>
  <c r="J6"/>
  <c r="K6"/>
  <c r="L6"/>
  <c r="M6"/>
  <c r="H6"/>
  <c r="L5"/>
  <c r="M5"/>
  <c r="N5"/>
  <c r="O5"/>
  <c r="I5"/>
  <c r="J5"/>
  <c r="K5"/>
  <c r="H5"/>
  <c i="33" r="D18"/>
  <c r="D17"/>
  <c r="D16"/>
  <c r="D15"/>
  <c r="D14"/>
  <c r="D13"/>
  <c r="D12"/>
  <c r="D11"/>
  <c r="C15"/>
  <c r="C17"/>
  <c r="C16"/>
  <c r="C14"/>
  <c r="C13"/>
  <c r="C12"/>
  <c r="C11"/>
  <c i="30" r="J8"/>
  <c r="G6"/>
  <c i="29" r="H30"/>
  <c r="H31"/>
  <c r="H32"/>
  <c r="H33"/>
  <c r="H34"/>
  <c r="H35"/>
  <c i="43" r="I3"/>
  <c r="I4"/>
  <c r="I5"/>
  <c r="I6"/>
  <c r="I7"/>
  <c r="I8"/>
  <c r="I9"/>
  <c r="I2"/>
  <c i="24" r="H7"/>
  <c r="H8"/>
  <c r="H9"/>
  <c r="H10"/>
  <c r="H11"/>
  <c r="H12"/>
  <c r="H13"/>
  <c i="37" r="I9"/>
  <c r="I10"/>
  <c r="I11"/>
  <c r="I12"/>
  <c r="I13"/>
  <c i="1" r="J7"/>
  <c r="J8"/>
  <c r="J9"/>
  <c r="J10"/>
  <c r="J11"/>
  <c r="J12"/>
  <c r="J13"/>
  <c r="J14"/>
  <c r="J15"/>
  <c i="34" l="1" r="J4"/>
  <c r="K4"/>
  <c r="L4"/>
  <c r="M4"/>
  <c r="N4"/>
  <c r="O4"/>
  <c r="I4"/>
  <c r="H4"/>
  <c i="33" r="C18"/>
  <c i="30" r="F18"/>
  <c r="G16"/>
  <c r="G15"/>
  <c r="G14"/>
  <c r="G12"/>
  <c r="G11"/>
  <c r="G10"/>
  <c r="G8"/>
  <c r="G7"/>
  <c i="25" l="1" r="C12"/>
  <c r="D12"/>
  <c r="E22"/>
  <c r="E23"/>
  <c r="E24"/>
  <c r="E21"/>
  <c r="E20"/>
  <c r="D22"/>
  <c r="D23"/>
  <c r="D24"/>
  <c r="D21"/>
  <c r="D20"/>
  <c r="C21"/>
  <c r="C22"/>
  <c r="C23"/>
  <c r="C24"/>
  <c r="C20"/>
  <c r="C13"/>
  <c r="D13"/>
  <c r="C14"/>
  <c r="D14"/>
  <c r="C15"/>
  <c r="D15"/>
  <c r="C16"/>
  <c r="D16"/>
  <c r="C11"/>
  <c r="D11"/>
  <c r="B13"/>
  <c r="B14"/>
  <c r="B15"/>
  <c r="B16"/>
  <c r="B12"/>
  <c r="B11"/>
  <c r="D5"/>
  <c r="D6"/>
  <c r="D7"/>
  <c r="D4"/>
  <c r="D3"/>
  <c r="C5"/>
  <c r="C6"/>
  <c r="C7"/>
  <c r="C4"/>
  <c r="C3"/>
  <c r="B5"/>
  <c r="B6"/>
  <c r="B7"/>
  <c r="B4"/>
  <c r="B3"/>
</calcChain>
</file>

<file path=xl/comments1.xml><?xml version="1.0" encoding="utf-8"?>
<comments xmlns="http://schemas.openxmlformats.org/spreadsheetml/2006/main">
  <authors>
    <author>DR. NISHTHA JAIN</author>
  </authors>
  <commentList>
    <comment ref="E7" authorId="0">
      <text>
        <r>
          <rPr>
            <rFont val="Tahoma"/>
            <b val="1"/>
            <color indexed="81"/>
            <sz val="9"/>
            <scheme val="none"/>
          </rPr>
          <t>DR. NISHTHA JAIN:</t>
        </r>
        <r>
          <rPr>
            <rFont val="Tahoma"/>
            <color indexed="81"/>
            <sz val="9"/>
            <scheme val="none"/>
          </rPr>
          <t>_x000A_Seems like an incorrect data !_x000A_</t>
        </r>
      </text>
    </comment>
    <comment ref="J26" authorId="0">
      <text>
        <r>
          <rPr>
            <rFont val="Tahoma"/>
            <b val="1"/>
            <color indexed="81"/>
            <sz val="9"/>
            <scheme val="none"/>
          </rPr>
          <t>DR. NISHTHA JAIN:</t>
        </r>
        <r>
          <rPr>
            <rFont val="Tahoma"/>
            <color indexed="81"/>
            <sz val="9"/>
            <scheme val="none"/>
          </rPr>
          <t>_x000A_Seems like an incorrect data !_x000A_</t>
        </r>
      </text>
    </comment>
    <comment ref="N29" authorId="0">
      <text>
        <r>
          <rPr>
            <rFont val="Tahoma"/>
            <b val="1"/>
            <color indexed="81"/>
            <sz val="9"/>
            <scheme val="none"/>
          </rPr>
          <t>DR. NISHTHA JAIN:</t>
        </r>
        <r>
          <rPr>
            <rFont val="Tahoma"/>
            <color indexed="81"/>
            <sz val="9"/>
            <scheme val="none"/>
          </rPr>
          <t>_x000A_Seems like an incorrect data !_x000A_</t>
        </r>
      </text>
    </comment>
    <comment ref="G46" authorId="0">
      <text>
        <r>
          <rPr>
            <rFont val="Tahoma"/>
            <b val="1"/>
            <color indexed="81"/>
            <sz val="9"/>
            <scheme val="none"/>
          </rPr>
          <t>DR. NISHTHA JAIN:</t>
        </r>
        <r>
          <rPr>
            <rFont val="Tahoma"/>
            <color indexed="81"/>
            <sz val="9"/>
            <scheme val="none"/>
          </rPr>
          <t>_x000A_Seems like an incorrect data !_x000A_</t>
        </r>
      </text>
    </comment>
    <comment ref="D52" authorId="0">
      <text>
        <r>
          <rPr>
            <rFont val="Tahoma"/>
            <b val="1"/>
            <color indexed="81"/>
            <sz val="9"/>
            <scheme val="none"/>
          </rPr>
          <t>DR. NISHTHA JAIN:</t>
        </r>
        <r>
          <rPr>
            <rFont val="Tahoma"/>
            <color indexed="81"/>
            <sz val="9"/>
            <scheme val="none"/>
          </rPr>
          <t>_x000A_Seems like an incorrect data !_x000A_</t>
        </r>
      </text>
    </comment>
    <comment ref="E52" authorId="0">
      <text>
        <r>
          <rPr>
            <rFont val="Tahoma"/>
            <b val="1"/>
            <color indexed="81"/>
            <sz val="9"/>
            <scheme val="none"/>
          </rPr>
          <t>DR. NISHTHA JAIN:</t>
        </r>
        <r>
          <rPr>
            <rFont val="Tahoma"/>
            <color indexed="81"/>
            <sz val="9"/>
            <scheme val="none"/>
          </rPr>
          <t>_x000A_Seems like an incorrect data !_x000A_</t>
        </r>
      </text>
    </comment>
  </commentList>
</comments>
</file>

<file path=xl/connections.xml><?xml version="1.0" encoding="utf-8"?>
<connections xmlns="http://schemas.openxmlformats.org/spreadsheetml/2006/main">
  <connection id="1"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2" keepAlive="1" name="Query - Table7_1" description="Connection to the 'Table7_1' query in the workbook." type="5" refreshedVersion="8" background="1" saveData="1">
    <dbPr connection="Provider=Microsoft.Mashup.OleDb.1;Data Source=$Workbook$;Location=Table7_1;Extended Properties=&quot;&quot;" command="SELECT * FROM [Table7_1]"/>
  </connection>
  <connection id="3" keepAlive="1" name="Query - Table7_1 (2)" description="Connection to the 'Table7_1 (2)' query in the workbook." type="5" refreshedVersion="8" background="1" saveData="1">
    <dbPr connection="Provider=Microsoft.Mashup.OleDb.1;Data Source=$Workbook$;Location=&quot;Table7_1 (2)&quot;;Extended Properties=&quot;&quot;" command="SELECT * FROM [Table7_1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<sst xmlns="http://schemas.openxmlformats.org/spreadsheetml/2006/main">
  <si>
    <t>Sr. No.</t>
  </si>
  <si>
    <t>Regions</t>
  </si>
  <si>
    <t>Items</t>
  </si>
  <si>
    <t>Dates</t>
  </si>
  <si>
    <t>Prices</t>
  </si>
  <si>
    <t>what is function in excel</t>
  </si>
  <si>
    <t>South</t>
  </si>
  <si>
    <t>Beauty products</t>
  </si>
  <si>
    <r>
      <t xml:space="preserve">A </t>
    </r>
    <r>
      <rPr>
        <rFont val="Times New Roman"/>
        <family val="1"/>
        <b val="1"/>
        <color theme="1"/>
        <sz val="20"/>
        <scheme val="none"/>
      </rPr>
      <t>function in Excel</t>
    </r>
    <r>
      <rPr>
        <rFont val="Times New Roman"/>
        <family val="1"/>
        <color theme="1"/>
        <sz val="20"/>
        <scheme val="none"/>
      </rPr>
      <t xml:space="preserve"> is a </t>
    </r>
    <r>
      <rPr>
        <rFont val="Times New Roman"/>
        <family val="1"/>
        <b val="1"/>
        <color theme="1"/>
        <sz val="20"/>
        <scheme val="none"/>
      </rPr>
      <t>predefined formula</t>
    </r>
    <r>
      <rPr>
        <rFont val="Times New Roman"/>
        <family val="1"/>
        <color theme="1"/>
        <sz val="20"/>
        <scheme val="none"/>
      </rPr>
      <t xml:space="preserve"> that performs a specific calculation automatically.</t>
    </r>
  </si>
  <si>
    <t>East</t>
  </si>
  <si>
    <t>Mobile Accessories</t>
  </si>
  <si>
    <t>Instead of doing the math manually, Excel does it for you.</t>
  </si>
  <si>
    <t>Home décor</t>
  </si>
  <si>
    <r>
      <t xml:space="preserve">Think of a function like a </t>
    </r>
    <r>
      <rPr>
        <rFont val="Times New Roman"/>
        <family val="1"/>
        <b val="1"/>
        <color theme="1"/>
        <sz val="20"/>
        <scheme val="none"/>
      </rPr>
      <t>shortcut</t>
    </r>
    <r>
      <rPr>
        <rFont val="Times New Roman"/>
        <family val="1"/>
        <color theme="1"/>
        <sz val="20"/>
        <scheme val="none"/>
      </rPr>
      <t xml:space="preserve"> — you just call its name and give it the info (called </t>
    </r>
    <r>
      <rPr>
        <rFont val="Times New Roman"/>
        <family val="1"/>
        <i val="1"/>
        <color theme="1"/>
        <sz val="20"/>
        <scheme val="none"/>
      </rPr>
      <t>arguments</t>
    </r>
    <r>
      <rPr>
        <rFont val="Times New Roman"/>
        <family val="1"/>
        <color theme="1"/>
        <sz val="20"/>
        <scheme val="none"/>
      </rPr>
      <t>), and Excel handles the rest.</t>
    </r>
  </si>
  <si>
    <t>Kitchen ware</t>
  </si>
  <si>
    <t>West</t>
  </si>
  <si>
    <t>Smart watch</t>
  </si>
  <si>
    <t>Category</t>
  </si>
  <si>
    <t>Function</t>
  </si>
  <si>
    <t>What It Does</t>
  </si>
  <si>
    <t>Example</t>
  </si>
  <si>
    <t>North</t>
  </si>
  <si>
    <t>Baby products</t>
  </si>
  <si>
    <t>Math</t>
  </si>
  <si>
    <t>SUM</t>
  </si>
  <si>
    <t>Adds numbers</t>
  </si>
  <si>
    <t>Average</t>
  </si>
  <si>
    <t>AVERAGE</t>
  </si>
  <si>
    <t>Finds average</t>
  </si>
  <si>
    <t>Jewellery</t>
  </si>
  <si>
    <t>Counting</t>
  </si>
  <si>
    <t>COUNT</t>
  </si>
  <si>
    <t>Counts numbers only</t>
  </si>
  <si>
    <t>Perfumes</t>
  </si>
  <si>
    <t>Minimum</t>
  </si>
  <si>
    <t>MIN</t>
  </si>
  <si>
    <t>Finds the smallest number</t>
  </si>
  <si>
    <t>Personal care</t>
  </si>
  <si>
    <t>Maximum</t>
  </si>
  <si>
    <t>MAX</t>
  </si>
  <si>
    <t>Finds the largest number</t>
  </si>
  <si>
    <t>Wrist Watch</t>
  </si>
  <si>
    <t>Conditional</t>
  </si>
  <si>
    <t>IF</t>
  </si>
  <si>
    <t>Checks a condition</t>
  </si>
  <si>
    <t>Bass Headphones</t>
  </si>
  <si>
    <t>Text</t>
  </si>
  <si>
    <t>CONCATENATE or &amp;</t>
  </si>
  <si>
    <t>Joins text</t>
  </si>
  <si>
    <t>Pet supplies</t>
  </si>
  <si>
    <t>Date</t>
  </si>
  <si>
    <t>TODAY()</t>
  </si>
  <si>
    <t>Gives today’s date</t>
  </si>
  <si>
    <t>Health &amp; wellness</t>
  </si>
  <si>
    <t>Logical</t>
  </si>
  <si>
    <t>AND / OR</t>
  </si>
  <si>
    <t>Tests multiple conditions</t>
  </si>
  <si>
    <t>Beverages</t>
  </si>
  <si>
    <t>Books</t>
  </si>
  <si>
    <t>THIS IS RAW DATA IN A FORM OF TABLE FORMAT
THIS IS RAW DATA IN A FORM OF TABLE FORMAT
THIS IS RAW DATA IN A FORM OF TABLE FORMAT</t>
  </si>
  <si>
    <t>What is a Formula in Excel?</t>
  </si>
  <si>
    <r>
      <t xml:space="preserve">A </t>
    </r>
    <r>
      <rPr>
        <rFont val="Times New Roman"/>
        <family val="1"/>
        <b val="1"/>
        <color theme="1"/>
        <sz val="20"/>
        <scheme val="none"/>
      </rPr>
      <t>formula</t>
    </r>
    <r>
      <rPr>
        <rFont val="Times New Roman"/>
        <family val="1"/>
        <color theme="1"/>
        <sz val="20"/>
        <scheme val="none"/>
      </rPr>
      <t xml:space="preserve"> in Excel is an </t>
    </r>
    <r>
      <rPr>
        <rFont val="Times New Roman"/>
        <family val="1"/>
        <b val="1"/>
        <color theme="1"/>
        <sz val="20"/>
        <scheme val="none"/>
      </rPr>
      <t>equation that performs a calculation</t>
    </r>
    <r>
      <rPr>
        <rFont val="Times New Roman"/>
        <family val="1"/>
        <color theme="1"/>
        <sz val="20"/>
        <scheme val="none"/>
      </rPr>
      <t>.</t>
    </r>
  </si>
  <si>
    <r>
      <t xml:space="preserve">You write it yourself — it’s how you tell Excel </t>
    </r>
    <r>
      <rPr>
        <rFont val="Times New Roman"/>
        <family val="1"/>
        <i val="1"/>
        <color theme="1"/>
        <sz val="20"/>
        <scheme val="none"/>
      </rPr>
      <t>what to do</t>
    </r>
    <r>
      <rPr>
        <rFont val="Times New Roman"/>
        <family val="1"/>
        <color theme="1"/>
        <sz val="20"/>
        <scheme val="none"/>
      </rPr>
      <t xml:space="preserve"> with your data.</t>
    </r>
  </si>
  <si>
    <r>
      <t xml:space="preserve">Every formula in Excel </t>
    </r>
    <r>
      <rPr>
        <rFont val="Times New Roman"/>
        <family val="1"/>
        <b val="1"/>
        <color theme="1"/>
        <sz val="20"/>
        <scheme val="none"/>
      </rPr>
      <t>starts with an equal sign (=)</t>
    </r>
    <r>
      <rPr>
        <rFont val="Times New Roman"/>
        <family val="1"/>
        <color theme="1"/>
        <sz val="20"/>
        <scheme val="none"/>
      </rPr>
      <t>.</t>
    </r>
  </si>
  <si>
    <t>That’s Excel’s way of knowing, “Hey, this isn’t plain text — this is math or logic!”</t>
  </si>
  <si>
    <t>Symbol</t>
  </si>
  <si>
    <t>Meaning</t>
  </si>
  <si>
    <t>Result</t>
  </si>
  <si>
    <t>+</t>
  </si>
  <si>
    <t>Addition</t>
  </si>
  <si>
    <t>Adds values</t>
  </si>
  <si>
    <t>-</t>
  </si>
  <si>
    <t>Subtraction</t>
  </si>
  <si>
    <t>Subtracts</t>
  </si>
  <si>
    <t>*</t>
  </si>
  <si>
    <t>Multiplication</t>
  </si>
  <si>
    <t>Multiplies</t>
  </si>
  <si>
    <t>/</t>
  </si>
  <si>
    <t>Division</t>
  </si>
  <si>
    <t>Divides</t>
  </si>
  <si>
    <t>^</t>
  </si>
  <si>
    <t>Power</t>
  </si>
  <si>
    <t>Square of E2</t>
  </si>
  <si>
    <t xml:space="preserve">
THIS IS RAW DATA IN A FORM OF TABLE FORMAT</t>
  </si>
  <si>
    <t>What is a Chart in Excel?</t>
  </si>
  <si>
    <t>A chart in Excel is a visual representation of data — it turns rows and columns of numbers into something your eyes and brain can quickly understand.</t>
  </si>
  <si>
    <t>Instead of reading a long table, you can see trends, patterns, and comparisons at a glance.</t>
  </si>
  <si>
    <t>THIS IS RAW DATA IN A FORM OF TABLE FORMAT</t>
  </si>
  <si>
    <t>What is Date Formatting in Excel?</t>
  </si>
  <si>
    <t>Date formatting means changing how a date appears — not the date itself, but its display style.</t>
  </si>
  <si>
    <t>Excel stores dates as serial numbers (like 45678 for a date), and formatting tells Excel how to show it.</t>
  </si>
  <si>
    <t>Examples of Date Formats</t>
  </si>
  <si>
    <t>Format Code</t>
  </si>
  <si>
    <t>Displayed As</t>
  </si>
  <si>
    <t>dd/mm/yyyy</t>
  </si>
  <si>
    <t>Day/Month/Year (Indian style 🇮🇳)</t>
  </si>
  <si>
    <t>mm/dd/yyyy</t>
  </si>
  <si>
    <t>Month/Day/Year (US style)</t>
  </si>
  <si>
    <t>dd-mmm-yyyy</t>
  </si>
  <si>
    <t>Month in short text</t>
  </si>
  <si>
    <t>dddd, mmmm dd, yyyy</t>
  </si>
  <si>
    <t>Full fancy format</t>
  </si>
  <si>
    <t>mmm-yy</t>
  </si>
  <si>
    <t>Month and year only</t>
  </si>
  <si>
    <t>dd-mm</t>
  </si>
  <si>
    <t>Just day and month</t>
  </si>
  <si>
    <t>yyyy-mm-dd</t>
  </si>
  <si>
    <t>ISO format (useful for sorting &amp; databases)</t>
  </si>
  <si>
    <t>1.Change Case</t>
  </si>
  <si>
    <t>NAMES</t>
  </si>
  <si>
    <t>UPPERCASE</t>
  </si>
  <si>
    <t>lowercase</t>
  </si>
  <si>
    <t>Propercase</t>
  </si>
  <si>
    <t xml:space="preserve">Satyam      Dubey</t>
  </si>
  <si>
    <t xml:space="preserve">Ishika kh     anna</t>
  </si>
  <si>
    <t xml:space="preserve">Vikas       singh</t>
  </si>
  <si>
    <t xml:space="preserve">paul      Bengali</t>
  </si>
  <si>
    <t xml:space="preserve">Ritisha        Sharma</t>
  </si>
  <si>
    <t>2.Remove Extra Spaces (TRIM)</t>
  </si>
  <si>
    <t>LENGTH</t>
  </si>
  <si>
    <t>TRIM</t>
  </si>
  <si>
    <t>Abha Tiwari</t>
  </si>
  <si>
    <t>3.Combine Names (Concatenate / Join Text)</t>
  </si>
  <si>
    <t>Names</t>
  </si>
  <si>
    <t>Surnames</t>
  </si>
  <si>
    <t>Full names</t>
  </si>
  <si>
    <t>Full names with spaces</t>
  </si>
  <si>
    <t>Full names with symbols and spaces</t>
  </si>
  <si>
    <t>Satyam</t>
  </si>
  <si>
    <t>Dubey</t>
  </si>
  <si>
    <t>Ishika</t>
  </si>
  <si>
    <t>Khanna</t>
  </si>
  <si>
    <t>Vikash</t>
  </si>
  <si>
    <t>Singh</t>
  </si>
  <si>
    <t>Paul</t>
  </si>
  <si>
    <t>Bengali</t>
  </si>
  <si>
    <t>Abha</t>
  </si>
  <si>
    <t>Tiwari</t>
  </si>
  <si>
    <t>S. No.</t>
  </si>
  <si>
    <t>Scores</t>
  </si>
  <si>
    <t>SOULTION</t>
  </si>
  <si>
    <t>RESULT</t>
  </si>
  <si>
    <t>A</t>
  </si>
  <si>
    <t>B</t>
  </si>
  <si>
    <t xml:space="preserve">IF </t>
  </si>
  <si>
    <t>C</t>
  </si>
  <si>
    <t>D</t>
  </si>
  <si>
    <t>E</t>
  </si>
  <si>
    <t>F</t>
  </si>
  <si>
    <t>G</t>
  </si>
  <si>
    <t>H</t>
  </si>
  <si>
    <t>Region</t>
  </si>
  <si>
    <t>Price</t>
  </si>
  <si>
    <t>pivot table</t>
  </si>
  <si>
    <t>Footwear</t>
  </si>
  <si>
    <t>Row Labels</t>
  </si>
  <si>
    <t>Sum of Price</t>
  </si>
  <si>
    <t>Mobile</t>
  </si>
  <si>
    <t>Smartwatch</t>
  </si>
  <si>
    <t>Grand Total</t>
  </si>
  <si>
    <t>Beard trimmer</t>
  </si>
  <si>
    <t>Deodarant</t>
  </si>
  <si>
    <t>Shaving cream</t>
  </si>
  <si>
    <t>Wrist watch</t>
  </si>
  <si>
    <t>Earbuds</t>
  </si>
  <si>
    <t>Jackets</t>
  </si>
  <si>
    <t>Hair dryer</t>
  </si>
  <si>
    <t>SUMIF</t>
  </si>
  <si>
    <t>AVERAGEIF</t>
  </si>
  <si>
    <t>NESTEDIF</t>
  </si>
  <si>
    <t>EAST</t>
  </si>
  <si>
    <t>WEST</t>
  </si>
  <si>
    <t>NORTH</t>
  </si>
  <si>
    <t>SOUTH</t>
  </si>
  <si>
    <t>PASSED</t>
  </si>
  <si>
    <t>Criteria - Scores to be &gt;= 120</t>
  </si>
  <si>
    <t>Ifs function</t>
  </si>
  <si>
    <t>Perfect</t>
  </si>
  <si>
    <t>FAILED</t>
  </si>
  <si>
    <t>EK HI FUNCTION ME BHAOT SARA CONDITION LAGA HAI</t>
  </si>
  <si>
    <t>What is a Slicer in Excel?</t>
  </si>
  <si>
    <r>
      <t xml:space="preserve">A </t>
    </r>
    <r>
      <rPr>
        <rFont val="Calibri"/>
        <b val="1"/>
        <color theme="1"/>
        <sz val="12"/>
      </rPr>
      <t>Slicer</t>
    </r>
    <r>
      <rPr>
        <rFont val="Calibri"/>
        <color theme="1"/>
        <sz val="12"/>
      </rPr>
      <t xml:space="preserve"> is a </t>
    </r>
    <r>
      <rPr>
        <rFont val="Calibri"/>
        <b val="1"/>
        <color theme="1"/>
        <sz val="12"/>
      </rPr>
      <t>visual filter tool</t>
    </r>
    <r>
      <rPr>
        <rFont val="Calibri"/>
        <color theme="1"/>
        <sz val="12"/>
      </rPr>
      <t xml:space="preserve"> used to </t>
    </r>
    <r>
      <rPr>
        <rFont val="Calibri"/>
        <b val="1"/>
        <color theme="1"/>
        <sz val="12"/>
      </rPr>
      <t>filter data quickly and easily</t>
    </r>
    <r>
      <rPr>
        <rFont val="Calibri"/>
        <color theme="1"/>
        <sz val="12"/>
      </rPr>
      <t xml:space="preserve"> in a </t>
    </r>
    <r>
      <rPr>
        <rFont val="Calibri"/>
        <b val="1"/>
        <color theme="1"/>
        <sz val="12"/>
      </rPr>
      <t>Pivot Table</t>
    </r>
    <r>
      <rPr>
        <rFont val="Calibri"/>
        <color theme="1"/>
        <sz val="12"/>
      </rPr>
      <t xml:space="preserve"> or </t>
    </r>
    <r>
      <rPr>
        <rFont val="Calibri"/>
        <b val="1"/>
        <color theme="1"/>
        <sz val="12"/>
      </rPr>
      <t>Pivot Chart</t>
    </r>
    <r>
      <rPr>
        <rFont val="Calibri"/>
        <color theme="1"/>
        <sz val="12"/>
      </rPr>
      <t>.</t>
    </r>
  </si>
  <si>
    <r>
      <t xml:space="preserve">It looks like </t>
    </r>
    <r>
      <rPr>
        <rFont val="Calibri"/>
        <b val="1"/>
        <color theme="1"/>
        <sz val="12"/>
      </rPr>
      <t>buttons</t>
    </r>
    <r>
      <rPr>
        <rFont val="Calibri"/>
        <color theme="1"/>
        <sz val="12"/>
      </rPr>
      <t xml:space="preserve"> you can click to show only the data you want — instead of using the drop-down filter menus.</t>
    </r>
  </si>
  <si>
    <t>Sum of Prices</t>
  </si>
  <si>
    <t>East Total</t>
  </si>
  <si>
    <t>North Total</t>
  </si>
  <si>
    <t>South Total</t>
  </si>
  <si>
    <t>West Total</t>
  </si>
  <si>
    <t>Student Names</t>
  </si>
  <si>
    <t>Science</t>
  </si>
  <si>
    <t>Mathematics</t>
  </si>
  <si>
    <t>Social Studies</t>
  </si>
  <si>
    <r>
      <t>Logical operators</t>
    </r>
    <r>
      <rPr>
        <rFont val="Calibri"/>
        <color theme="1"/>
        <sz val="12"/>
      </rPr>
      <t xml:space="preserve"> are symbols or words used in Excel </t>
    </r>
    <r>
      <rPr>
        <rFont val="Calibri"/>
        <b val="1"/>
        <color theme="1"/>
        <sz val="12"/>
      </rPr>
      <t>to compare two values or expressions</t>
    </r>
    <r>
      <rPr>
        <rFont val="Calibri"/>
        <color theme="1"/>
        <sz val="12"/>
      </rPr>
      <t>.</t>
    </r>
  </si>
  <si>
    <t>K</t>
  </si>
  <si>
    <r>
      <t xml:space="preserve">They return a result that is either </t>
    </r>
    <r>
      <rPr>
        <rFont val="Calibri"/>
        <b val="1"/>
        <color theme="1"/>
        <sz val="12"/>
      </rPr>
      <t>TRUE</t>
    </r>
    <r>
      <rPr>
        <rFont val="Calibri"/>
        <color theme="1"/>
        <sz val="12"/>
      </rPr>
      <t xml:space="preserve"> or </t>
    </r>
    <r>
      <rPr>
        <rFont val="Calibri"/>
        <b val="1"/>
        <color theme="1"/>
        <sz val="12"/>
      </rPr>
      <t>FALSE</t>
    </r>
    <r>
      <rPr>
        <rFont val="Calibri"/>
        <color theme="1"/>
        <sz val="12"/>
      </rPr>
      <t>.</t>
    </r>
  </si>
  <si>
    <t>Condition 1</t>
  </si>
  <si>
    <t>Condition 2</t>
  </si>
  <si>
    <t>OR - Either this or that</t>
  </si>
  <si>
    <t>N</t>
  </si>
  <si>
    <t>AND - Both this and that</t>
  </si>
  <si>
    <t>J</t>
  </si>
  <si>
    <t>I</t>
  </si>
  <si>
    <t>L</t>
  </si>
  <si>
    <t>M</t>
  </si>
  <si>
    <t>XOR - TRUE FALSE depends on the no. of arguments</t>
  </si>
  <si>
    <t>If even number of conditions are meeting the set criteria, the answer will be FALSE !</t>
  </si>
  <si>
    <t>If odd number of conditions are meeting the set criteria, the answer will be TRUE !</t>
  </si>
  <si>
    <t>NOT</t>
  </si>
  <si>
    <t>The exact opposite</t>
  </si>
  <si>
    <t>Operator</t>
  </si>
  <si>
    <t>=</t>
  </si>
  <si>
    <t>Equal to</t>
  </si>
  <si>
    <t>TRUE if both are equal</t>
  </si>
  <si>
    <t>&lt;&gt;</t>
  </si>
  <si>
    <t>Not equal to</t>
  </si>
  <si>
    <r>
      <t xml:space="preserve">TRUE if they are </t>
    </r>
    <r>
      <rPr>
        <rFont val="Calibri"/>
        <b val="1"/>
        <color theme="1"/>
        <sz val="12"/>
      </rPr>
      <t>different</t>
    </r>
  </si>
  <si>
    <t>&gt;</t>
  </si>
  <si>
    <t>Greater than</t>
  </si>
  <si>
    <t>TRUE if A1 is larger</t>
  </si>
  <si>
    <t>&lt;</t>
  </si>
  <si>
    <t>Less than</t>
  </si>
  <si>
    <t>TRUE if A1 is smaller</t>
  </si>
  <si>
    <t>&gt;=</t>
  </si>
  <si>
    <t>Greater than or equal to</t>
  </si>
  <si>
    <t>TRUE if A1 ≥ B1</t>
  </si>
  <si>
    <t>&lt;=</t>
  </si>
  <si>
    <t>Less than or equal to</t>
  </si>
  <si>
    <t>TRUE if A1 ≤ B1</t>
  </si>
  <si>
    <t>If score is greater than 40 in Science, Math and / or Social Studies</t>
  </si>
  <si>
    <t>STUDENT NAMES</t>
  </si>
  <si>
    <t>OR</t>
  </si>
  <si>
    <t>AND</t>
  </si>
  <si>
    <t>XOR</t>
  </si>
  <si>
    <t>Lookup values</t>
  </si>
  <si>
    <t>Bass headphones</t>
  </si>
  <si>
    <t>1/15/2000</t>
  </si>
  <si>
    <t>Vertically arranged data</t>
  </si>
  <si>
    <t>1/19/2000</t>
  </si>
  <si>
    <t>1/13/2000</t>
  </si>
  <si>
    <t>1/17/2000</t>
  </si>
  <si>
    <t>1/20/2000</t>
  </si>
  <si>
    <t>1/22/2000</t>
  </si>
  <si>
    <t>Horizontally arranged data</t>
  </si>
  <si>
    <t>Perfume</t>
  </si>
  <si>
    <t>Hair spray</t>
  </si>
  <si>
    <t>Men's Deodarant</t>
  </si>
  <si>
    <t>Women's Deodarant</t>
  </si>
  <si>
    <t>wildcard</t>
  </si>
  <si>
    <t>Shaving</t>
  </si>
  <si>
    <t>Shaving brush</t>
  </si>
  <si>
    <t>Year wise prices</t>
  </si>
  <si>
    <t>Lookup Value - 1</t>
  </si>
  <si>
    <t>Lookup Value - 2</t>
  </si>
  <si>
    <t>2-D data</t>
  </si>
  <si>
    <t>Deodarant for men</t>
  </si>
  <si>
    <t>Deodarant for women</t>
  </si>
  <si>
    <t xml:space="preserve">xc </t>
  </si>
  <si>
    <t>dvds</t>
  </si>
  <si>
    <t>gcngf</t>
  </si>
  <si>
    <t>dffd</t>
  </si>
  <si>
    <t>fvfds</t>
  </si>
  <si>
    <t>bv bv</t>
  </si>
  <si>
    <t>cvbc</t>
  </si>
  <si>
    <t xml:space="preserve">TEXT </t>
  </si>
  <si>
    <t>GREATER</t>
  </si>
  <si>
    <t>DATA BAR</t>
  </si>
  <si>
    <t>COLOUR SLIDE</t>
  </si>
  <si>
    <t>ICON</t>
  </si>
  <si>
    <t xml:space="preserve">NEW RULE </t>
  </si>
  <si>
    <t>BETWEEN 16000 TO 40000</t>
  </si>
  <si>
    <t>Sales of 8 medicines across 5 years</t>
  </si>
  <si>
    <t>Medicines</t>
  </si>
  <si>
    <t>2012</t>
  </si>
  <si>
    <t>2013</t>
  </si>
  <si>
    <t>2014</t>
  </si>
  <si>
    <t>2015</t>
  </si>
  <si>
    <t>2016</t>
  </si>
  <si>
    <t>Antibiotics</t>
  </si>
  <si>
    <t>Probiotics</t>
  </si>
  <si>
    <t>Steroids</t>
  </si>
  <si>
    <t>Analgesics</t>
  </si>
  <si>
    <t>Anti-allergics</t>
  </si>
  <si>
    <t>Laxatives</t>
  </si>
  <si>
    <t>Antivirals</t>
  </si>
  <si>
    <t>Antacids</t>
  </si>
  <si>
    <t>Power query editor</t>
  </si>
  <si>
    <t>Pivot Table</t>
  </si>
  <si>
    <t>Compare Sales</t>
  </si>
  <si>
    <t>%age contribution</t>
  </si>
  <si>
    <t>Trends</t>
  </si>
  <si>
    <t>TAB.Medicines</t>
  </si>
  <si>
    <t>Sum of 2012</t>
  </si>
  <si>
    <t>Sum of 2013</t>
  </si>
  <si>
    <t>Sum of 2014</t>
  </si>
  <si>
    <t>Sum of 2015</t>
  </si>
  <si>
    <t>Sum of 2016</t>
  </si>
  <si>
    <t>TAB.Antibiotics</t>
  </si>
  <si>
    <t>TAB.Probiotics</t>
  </si>
  <si>
    <t>TAB.Steroids</t>
  </si>
  <si>
    <t>TAB.Analgesics</t>
  </si>
  <si>
    <t>TAB.Anti-allergics</t>
  </si>
  <si>
    <t>TAB.Laxatives</t>
  </si>
  <si>
    <t>TAB.Antivirals</t>
  </si>
  <si>
    <t>TAB.Antacids</t>
  </si>
  <si>
    <t>CLEAN DATA IN DATA</t>
  </si>
  <si>
    <t>PIVOT TABLE</t>
  </si>
  <si>
    <t>PIVOT CHART (COLUMN CHART)</t>
  </si>
</sst>
</file>

<file path=xl/styles.xml><?xml version="1.0" encoding="utf-8"?>
<styleSheet xmlns="http://schemas.openxmlformats.org/spreadsheetml/2006/main">
  <numFmts count="4">
    <numFmt numFmtId="165" formatCode="&quot;₹&quot; #,##0"/>
    <numFmt numFmtId="166" formatCode="[$-F800]dddd\, mmmm dd\, yyyy"/>
    <numFmt numFmtId="164" formatCode="&quot;₹&quot; #,##0.00"/>
    <numFmt numFmtId="8" formatCode="&quot;₹&quot; #,##0.00;[Red]&quot;₹&quot; -#,##0.00"/>
  </numFmts>
  <fonts count="65">
    <font>
      <sz val="12"/>
      <color theme="1"/>
      <name val="Calibri"/>
      <family val="2"/>
      <scheme val="minor"/>
    </font>
    <font>
      <b/>
      <sz val="12"/>
      <color theme="1"/>
      <name val="Calibri"/>
      <scheme val="minor"/>
    </font>
    <font>
      <sz val="18"/>
      <color theme="1"/>
      <name val="Times New Roman"/>
      <family val="1"/>
    </font>
    <font>
      <b/>
      <sz val="18"/>
      <color rgb="FF000000"/>
      <name val="Times New Roman"/>
      <family val="1"/>
    </font>
    <font>
      <b/>
      <sz val="20"/>
      <color theme="1"/>
      <name val="Times New Roman"/>
      <family val="1"/>
    </font>
    <font>
      <sz val="20"/>
      <color theme="1"/>
      <name val="Times New Roman"/>
      <family val="1"/>
    </font>
    <font>
      <b/>
      <sz val="18"/>
      <color theme="1"/>
      <name val="Times New Roman"/>
      <family val="1"/>
    </font>
    <font>
      <sz val="14"/>
      <color theme="1"/>
      <name val="Times New Roman"/>
      <family val="1"/>
    </font>
    <font>
      <b/>
      <sz val="14"/>
      <color theme="1"/>
      <name val="Times New Roman"/>
      <family val="1"/>
    </font>
    <font>
      <b/>
      <u/>
      <sz val="14"/>
      <color theme="1"/>
      <name val="Times New Roman"/>
      <family val="1"/>
    </font>
    <font>
      <b/>
      <sz val="12"/>
      <color theme="1"/>
      <name val="Bookman Old Style"/>
      <family val="1"/>
    </font>
    <font>
      <sz val="12"/>
      <color theme="1"/>
      <name val="Bookman Old Style"/>
      <family val="1"/>
    </font>
    <font>
      <b/>
      <i/>
      <sz val="18"/>
      <color theme="1"/>
      <name val="Times New Roman"/>
      <family val="1"/>
    </font>
    <font>
      <b/>
      <i/>
      <sz val="14"/>
      <color theme="1"/>
      <name val="Times New Roman"/>
      <family val="1"/>
    </font>
    <font>
      <b/>
      <u/>
      <sz val="12"/>
      <color theme="1"/>
      <name val="Bookman Old Style"/>
      <family val="1"/>
    </font>
    <font>
      <b/>
      <u/>
      <sz val="16"/>
      <color theme="1"/>
      <name val="Bookman Old Style"/>
      <family val="1"/>
    </font>
    <font>
      <b/>
      <sz val="14"/>
      <color theme="1"/>
      <name val="Bookman Old Style"/>
      <family val="1"/>
    </font>
    <font>
      <b/>
      <sz val="13.5"/>
      <color theme="1"/>
      <name val="Calibri"/>
      <scheme val="minor"/>
    </font>
    <font>
      <sz val="11"/>
      <color theme="1"/>
      <name val="Bookman Old Style"/>
      <family val="1"/>
    </font>
    <font>
      <b/>
      <u/>
      <sz val="12"/>
      <color theme="1"/>
      <name val="Book Antiqua"/>
      <family val="1"/>
    </font>
    <font>
      <sz val="12"/>
      <color theme="1"/>
      <name val="Book Antiqua"/>
      <family val="1"/>
    </font>
    <font>
      <b/>
      <i/>
      <u/>
      <sz val="14"/>
      <color theme="1"/>
      <name val="Calibri"/>
      <scheme val="minor"/>
    </font>
    <font>
      <b/>
      <sz val="14"/>
      <color theme="1"/>
      <name val="Calibri"/>
      <scheme val="minor"/>
    </font>
    <font>
      <b/>
      <sz val="14"/>
      <color rgb="FFC00000"/>
      <name val="Calibri"/>
      <scheme val="minor"/>
    </font>
    <font>
      <sz val="10"/>
      <color theme="1"/>
      <name val="Arial Unicode MS"/>
    </font>
    <font>
      <b/>
      <sz val="12"/>
      <color theme="1"/>
      <name val="Book Antiqua"/>
      <family val="1"/>
    </font>
    <font>
      <b/>
      <sz val="11"/>
      <color theme="1"/>
      <name val="Comic Sans MS"/>
      <family val="4"/>
    </font>
    <font>
      <b/>
      <u/>
      <sz val="11"/>
      <color theme="1"/>
      <name val="Comic Sans MS"/>
      <family val="4"/>
    </font>
    <font>
      <b/>
      <i/>
      <u/>
      <sz val="11"/>
      <color theme="1"/>
      <name val="Comic Sans MS"/>
      <family val="4"/>
    </font>
    <font>
      <b/>
      <sz val="12"/>
      <color theme="1"/>
      <name val="Comic Sans MS"/>
      <family val="4"/>
    </font>
    <font>
      <sz val="12"/>
      <color theme="1"/>
      <name val="Comic Sans MS"/>
      <family val="4"/>
    </font>
    <font>
      <sz val="11"/>
      <color theme="1"/>
      <name val="Comic Sans MS"/>
      <family val="4"/>
    </font>
    <font>
      <b/>
      <u/>
      <sz val="11"/>
      <color theme="0"/>
      <name val="Comic Sans MS"/>
      <family val="4"/>
    </font>
    <font>
      <sz val="11"/>
      <color theme="1"/>
      <name val="Times New Roman"/>
      <family val="1"/>
    </font>
    <font>
      <b/>
      <u/>
      <sz val="11"/>
      <color theme="0"/>
      <name val="Times New Roman"/>
      <family val="1"/>
    </font>
    <font>
      <sz val="11"/>
      <color rgb="FF0C0C0C"/>
      <name val="Times New Roman"/>
      <family val="1"/>
    </font>
    <font>
      <b/>
      <sz val="11"/>
      <color rgb="FF0C0C0C"/>
      <name val="Times New Roman"/>
      <family val="1"/>
    </font>
    <font>
      <b/>
      <sz val="11"/>
      <color theme="1"/>
      <name val="Times New Roman"/>
      <family val="1"/>
    </font>
    <font>
      <b/>
      <sz val="13"/>
      <color theme="0"/>
      <name val="Times New Roman"/>
      <family val="1"/>
    </font>
    <font>
      <sz val="12"/>
      <color rgb="FF0C0C0C"/>
      <name val="Times New Roman"/>
      <family val="1"/>
    </font>
    <font>
      <sz val="12"/>
      <color theme="1"/>
      <name val="Times New Roman"/>
      <family val="1"/>
    </font>
    <font>
      <b/>
      <sz val="12"/>
      <color theme="1"/>
      <name val="Times New Roman"/>
      <family val="1"/>
    </font>
    <font>
      <b/>
      <sz val="13"/>
      <color theme="1"/>
      <name val="Times New Roman"/>
      <family val="1"/>
    </font>
    <font>
      <sz val="13"/>
      <color theme="1"/>
      <name val="Times New Roman"/>
      <family val="1"/>
    </font>
    <font>
      <sz val="11"/>
      <color theme="1"/>
      <name val="Calibri"/>
      <scheme val="minor"/>
    </font>
    <font>
      <b/>
      <sz val="12"/>
      <color rgb="FFFFFFFF"/>
      <name val="Amasis MT Pro"/>
      <family val="1"/>
    </font>
    <font>
      <sz val="11"/>
      <color rgb="FF0C0C0C"/>
      <name val="Amasis MT Pro"/>
      <family val="1"/>
    </font>
    <font>
      <b/>
      <sz val="11"/>
      <color theme="1"/>
      <name val="Amasis MT Pro"/>
      <family val="1"/>
    </font>
    <font>
      <sz val="11"/>
      <color theme="1"/>
      <name val="Amasis MT Pro"/>
      <family val="1"/>
    </font>
    <font>
      <b/>
      <sz val="12"/>
      <color theme="1"/>
      <name val="Amasis MT Pro"/>
      <family val="1"/>
    </font>
    <font>
      <b/>
      <sz val="11"/>
      <color rgb="FFFFFFFF"/>
      <name val="Amasis MT Pro"/>
      <family val="1"/>
    </font>
    <font>
      <b/>
      <u/>
      <sz val="11"/>
      <color rgb="FFFFFFFF"/>
      <name val="Amasis MT Pro"/>
      <family val="1"/>
    </font>
    <font>
      <b/>
      <u/>
      <sz val="11"/>
      <color rgb="FF0C0C0C"/>
      <name val="Amasis MT Pro"/>
      <family val="1"/>
    </font>
    <font>
      <b/>
      <u/>
      <sz val="11"/>
      <color theme="0"/>
      <name val="Amasis MT Pro"/>
      <family val="1"/>
    </font>
    <font>
      <b/>
      <sz val="12"/>
      <color theme="0"/>
      <name val="Calibri"/>
      <scheme val="minor"/>
    </font>
    <font>
      <b/>
      <sz val="16"/>
      <color theme="1"/>
      <name val="Calibri"/>
    </font>
    <font>
      <b/>
      <sz val="12"/>
      <name val="Calibri"/>
    </font>
    <font>
      <b/>
      <sz val="12"/>
      <name val="Calibri"/>
      <scheme val="minor"/>
    </font>
    <font>
      <sz val="12"/>
      <name val="Calibri"/>
    </font>
    <font>
      <sz val="12"/>
      <name val="Calibri"/>
      <scheme val="minor"/>
    </font>
    <font>
      <b/>
      <i/>
      <u/>
      <sz val="12"/>
      <color rgb="FFC00000"/>
      <name val="Calibri"/>
      <scheme val="minor"/>
    </font>
    <font>
      <sz val="11"/>
      <name val="Calibri"/>
      <scheme val="minor"/>
    </font>
    <font>
      <i/>
      <sz val="20"/>
      <color theme="1"/>
      <name val="Times New Roman"/>
      <family val="1"/>
    </font>
    <font>
      <b/>
      <sz val="9"/>
      <color indexed="81"/>
      <name val="Tahoma"/>
    </font>
    <font>
      <sz val="9"/>
      <color indexed="81"/>
      <name val="Tahoma"/>
    </font>
  </fonts>
  <fills count="2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5"/>
        <bgColor indexed="64"/>
      </patternFill>
    </fill>
    <fill>
      <patternFill patternType="solid">
        <fgColor rgb="FFF4B083"/>
        <bgColor rgb="FFF4B083"/>
      </patternFill>
    </fill>
    <fill>
      <patternFill patternType="solid">
        <fgColor theme="0"/>
        <bgColor theme="0"/>
      </patternFill>
    </fill>
    <fill>
      <patternFill patternType="solid">
        <fgColor rgb="FF00B050"/>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rgb="FF333F4F"/>
        <bgColor rgb="FF333F4F"/>
      </patternFill>
    </fill>
    <fill>
      <patternFill patternType="solid">
        <fgColor rgb="FFFBE4D5"/>
        <bgColor rgb="FFFBE4D5"/>
      </patternFill>
    </fill>
    <fill>
      <patternFill patternType="solid">
        <fgColor theme="9" tint="0.399975585192419"/>
        <bgColor theme="0"/>
      </patternFill>
    </fill>
    <fill>
      <patternFill patternType="solid">
        <fgColor rgb="FFB4C6E7"/>
        <bgColor rgb="FFB4C6E7"/>
      </patternFill>
    </fill>
    <fill>
      <patternFill patternType="solid">
        <fgColor rgb="FF2E75B5"/>
        <bgColor rgb="FF2E75B5"/>
      </patternFill>
    </fill>
    <fill>
      <patternFill patternType="solid">
        <fgColor rgb="FF2F5496"/>
        <bgColor indexed="64"/>
      </patternFill>
    </fill>
    <fill>
      <patternFill patternType="solid">
        <fgColor rgb="FFFBE4D5"/>
        <bgColor indexed="64"/>
      </patternFill>
    </fill>
    <fill>
      <patternFill patternType="solid">
        <fgColor rgb="FFA8D08D"/>
        <bgColor indexed="64"/>
      </patternFill>
    </fill>
    <fill>
      <patternFill patternType="solid">
        <fgColor theme="2" tint="-0.499984740745262"/>
        <bgColor indexed="64"/>
      </patternFill>
    </fill>
    <fill>
      <patternFill patternType="solid">
        <fgColor rgb="FF333F4F"/>
        <bgColor indexed="64"/>
      </patternFill>
    </fill>
    <fill>
      <patternFill patternType="solid">
        <fgColor theme="1"/>
        <bgColor theme="1"/>
      </patternFill>
    </fill>
    <fill>
      <patternFill patternType="solid">
        <fgColor theme="7" tint="0.599993896298105"/>
        <bgColor indexed="64"/>
      </patternFill>
    </fill>
    <fill>
      <patternFill patternType="solid">
        <fgColor theme="8" tint="0.799981688894314"/>
        <bgColor indexed="64"/>
      </patternFill>
    </fill>
    <fill>
      <patternFill patternType="solid">
        <fgColor theme="0"/>
        <bgColor indexed="64"/>
      </patternFill>
    </fill>
    <fill>
      <patternFill patternType="solid">
        <fgColor theme="0"/>
        <bgColor theme="4" tint="0.799981688894314"/>
      </patternFill>
    </fill>
  </fills>
  <borders count="25">
    <border/>
    <border>
      <left style="thin">
        <color indexed="64"/>
      </left>
      <right style="thin">
        <color indexed="64"/>
      </right>
      <top style="thin">
        <color indexed="64"/>
      </top>
      <bottom style="thin">
        <color indexed="64"/>
      </bottom>
    </border>
    <border>
      <left style="thin">
        <color indexed="64"/>
      </left>
      <top style="thin">
        <color indexed="64"/>
      </top>
      <bottom style="thin">
        <color indexed="64"/>
      </bottom>
    </border>
    <border>
      <top style="thin">
        <color indexed="64"/>
      </top>
      <bottom style="thin">
        <color indexed="64"/>
      </bottom>
    </border>
    <border>
      <bottom style="thin">
        <color indexed="64"/>
      </bottom>
    </border>
    <border>
      <left style="thin">
        <color indexed="64"/>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indexed="64"/>
      </left>
      <right style="thin">
        <color indexed="64"/>
      </right>
      <top style="thin">
        <color indexed="64"/>
      </top>
    </border>
    <border>
      <left style="thin">
        <color indexed="64"/>
      </left>
      <right style="thin">
        <color indexed="64"/>
      </right>
    </border>
    <border>
      <left style="thin">
        <color indexed="64"/>
      </left>
      <right style="thin">
        <color indexed="64"/>
      </right>
      <bottom style="thin">
        <color indexed="64"/>
      </bottom>
    </border>
    <border>
      <left style="thin">
        <color theme="1"/>
      </left>
      <right style="thin">
        <color theme="1"/>
      </right>
      <top style="thin">
        <color theme="1"/>
      </top>
      <bottom style="thin">
        <color theme="1"/>
      </bottom>
    </border>
    <border>
      <right style="thin">
        <color indexed="64"/>
      </right>
      <bottom style="thin">
        <color indexed="64"/>
      </bottom>
    </border>
    <border>
      <left style="thin">
        <color indexed="64"/>
      </left>
      <bottom style="thin">
        <color indexed="64"/>
      </bottom>
    </border>
    <border>
      <right style="thin">
        <color indexed="64"/>
      </right>
      <top style="thin">
        <color indexed="64"/>
      </top>
      <bottom style="thin">
        <color indexed="64"/>
      </bottom>
    </border>
    <border>
      <right style="thin">
        <color indexed="64"/>
      </right>
      <top style="thin">
        <color indexed="64"/>
      </top>
    </border>
    <border>
      <left style="thin">
        <color indexed="64"/>
      </left>
      <top style="thin">
        <color indexed="64"/>
      </top>
    </border>
    <border>
      <top style="thin">
        <color indexed="64"/>
      </top>
    </border>
  </borders>
  <cellStyleXfs count="2">
    <xf numFmtId="0" fontId="0" fillId="0" borderId="0"/>
    <xf numFmtId="0" fontId="44" fillId="0" borderId="0"/>
  </cellStyleXfs>
  <cellXfs count="238">
    <xf numFmtId="0" fontId="0" fillId="0" borderId="0" xfId="0"/>
    <xf numFmtId="0" fontId="1" fillId="0" borderId="0" xfId="0" applyFont="1"/>
    <xf numFmtId="0" fontId="0" fillId="2" borderId="0" xfId="0" applyFill="1" applyAlignment="1">
      <alignment horizontal="center" vertical="center"/>
    </xf>
    <xf numFmtId="0" fontId="2" fillId="0" borderId="0" xfId="0" applyFont="1"/>
    <xf numFmtId="0" fontId="2" fillId="0" borderId="0" xfId="0" applyFont="1" applyAlignment="1">
      <alignment horizontal="center"/>
    </xf>
    <xf numFmtId="1" fontId="2" fillId="0" borderId="0" xfId="0" applyNumberFormat="1" applyFont="1"/>
    <xf numFmtId="0" fontId="3" fillId="3" borderId="1" xfId="0" applyFont="1" applyFill="1" applyBorder="1" applyAlignment="1">
      <alignment horizontal="center" vertical="center"/>
    </xf>
    <xf numFmtId="1" fontId="3" fillId="3" borderId="1" xfId="0" applyNumberFormat="1" applyFont="1" applyFill="1" applyBorder="1" applyAlignment="1">
      <alignment horizontal="center" vertical="center"/>
    </xf>
    <xf numFmtId="0" fontId="4" fillId="0" borderId="0" xfId="0" applyFont="1" applyAlignment="1">
      <alignment vertical="center"/>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14" fontId="2" fillId="0" borderId="1" xfId="0" applyNumberFormat="1" applyFont="1" applyBorder="1" applyAlignment="1">
      <alignment horizontal="center" vertical="center"/>
    </xf>
    <xf numFmtId="1" fontId="2" fillId="0" borderId="1" xfId="0" applyNumberFormat="1" applyFont="1" applyBorder="1" applyAlignment="1">
      <alignment horizontal="left" vertical="center"/>
    </xf>
    <xf numFmtId="0" fontId="5" fillId="0" borderId="0" xfId="0" applyFont="1" applyAlignment="1">
      <alignment vertical="center"/>
    </xf>
    <xf numFmtId="0" fontId="6" fillId="4" borderId="1" xfId="0" applyFont="1" applyFill="1" applyBorder="1"/>
    <xf numFmtId="1" fontId="6" fillId="4" borderId="1" xfId="0" applyNumberFormat="1" applyFont="1" applyFill="1" applyBorder="1"/>
    <xf numFmtId="0" fontId="6" fillId="4" borderId="1" xfId="0" applyFont="1" applyFill="1" applyBorder="1" applyAlignment="1">
      <alignment horizontal="center"/>
    </xf>
    <xf numFmtId="0" fontId="2" fillId="0" borderId="1" xfId="0" applyFont="1" applyBorder="1"/>
    <xf numFmtId="1" fontId="2" fillId="0" borderId="1" xfId="0" applyNumberFormat="1" applyFon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14" fontId="2" fillId="0" borderId="1" xfId="0" applyNumberFormat="1" applyFont="1" applyBorder="1"/>
    <xf numFmtId="0" fontId="2" fillId="4" borderId="1" xfId="0" applyFont="1" applyFill="1" applyBorder="1" applyAlignment="1">
      <alignment horizontal="center" wrapText="1"/>
    </xf>
    <xf numFmtId="0" fontId="2" fillId="4" borderId="1" xfId="0" applyFont="1" applyFill="1" applyBorder="1" applyAlignment="1">
      <alignment horizontal="center"/>
    </xf>
    <xf numFmtId="0" fontId="5" fillId="0" borderId="0" xfId="0" applyFont="1"/>
    <xf numFmtId="0" fontId="4" fillId="4" borderId="1" xfId="0" applyFont="1" applyFill="1" applyBorder="1"/>
    <xf numFmtId="0" fontId="5" fillId="0" borderId="1" xfId="0" applyFont="1" applyBorder="1"/>
    <xf numFmtId="1" fontId="5" fillId="0" borderId="1" xfId="0" applyNumberFormat="1" applyFont="1" applyBorder="1"/>
    <xf numFmtId="0" fontId="4" fillId="0" borderId="0" xfId="0" applyFont="1"/>
    <xf numFmtId="0" fontId="2" fillId="4" borderId="2" xfId="0" applyFont="1" applyFill="1" applyBorder="1" applyAlignment="1">
      <alignment horizontal="center" wrapText="1"/>
    </xf>
    <xf numFmtId="0" fontId="2" fillId="4" borderId="3" xfId="0" applyFont="1" applyFill="1" applyBorder="1" applyAlignment="1">
      <alignment horizontal="center" wrapText="1"/>
    </xf>
    <xf numFmtId="165" fontId="0" fillId="0" borderId="0" xfId="0" applyNumberFormat="1"/>
    <xf numFmtId="0" fontId="6" fillId="0" borderId="0" xfId="0" applyFont="1"/>
    <xf numFmtId="14" fontId="6" fillId="5" borderId="1" xfId="0" applyNumberFormat="1" applyFont="1" applyFill="1" applyBorder="1"/>
    <xf numFmtId="166" fontId="6" fillId="5" borderId="1" xfId="0" applyNumberFormat="1" applyFont="1" applyFill="1" applyBorder="1"/>
    <xf numFmtId="0" fontId="6" fillId="5" borderId="1" xfId="0" applyFont="1" applyFill="1" applyBorder="1"/>
    <xf numFmtId="0" fontId="7" fillId="0" borderId="0" xfId="0" applyFont="1" applyAlignment="1">
      <alignment horizontal="center" vertical="center"/>
    </xf>
    <xf numFmtId="0" fontId="8" fillId="0" borderId="4" xfId="0" applyFont="1" applyBorder="1" applyAlignment="1">
      <alignment horizontal="center" vertical="center"/>
    </xf>
    <xf numFmtId="0" fontId="7" fillId="0" borderId="4" xfId="0" applyFont="1" applyBorder="1" applyAlignment="1">
      <alignment horizontal="center" vertical="center"/>
    </xf>
    <xf numFmtId="0" fontId="9" fillId="5" borderId="1" xfId="0" applyFont="1" applyFill="1" applyBorder="1" applyAlignment="1">
      <alignment horizontal="center" vertical="center"/>
    </xf>
    <xf numFmtId="0" fontId="7" fillId="0" borderId="1" xfId="0" applyFont="1" applyBorder="1" applyAlignment="1">
      <alignment horizontal="center" vertical="center"/>
    </xf>
    <xf numFmtId="0" fontId="9" fillId="5"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0" fillId="4" borderId="5" xfId="0" applyFont="1" applyFill="1" applyBorder="1" applyAlignment="1">
      <alignment horizontal="center" vertical="center"/>
    </xf>
    <xf numFmtId="0" fontId="11" fillId="0" borderId="1" xfId="0" applyFont="1" applyBorder="1" applyAlignment="1">
      <alignment horizontal="center" vertical="center"/>
    </xf>
    <xf numFmtId="0" fontId="12" fillId="6" borderId="6" xfId="0" applyFont="1" applyFill="1" applyBorder="1" applyAlignment="1">
      <alignment horizontal="center" vertical="center"/>
    </xf>
    <xf numFmtId="0" fontId="12" fillId="6" borderId="7" xfId="0" applyFont="1" applyFill="1" applyBorder="1" applyAlignment="1">
      <alignment horizontal="center" vertical="center"/>
    </xf>
    <xf numFmtId="0" fontId="12" fillId="6" borderId="8" xfId="0" applyFont="1" applyFill="1" applyBorder="1" applyAlignment="1">
      <alignment horizontal="center" vertical="center"/>
    </xf>
    <xf numFmtId="14" fontId="2" fillId="7" borderId="9" xfId="0" applyNumberFormat="1" applyFont="1" applyFill="1" applyBorder="1" applyAlignment="1">
      <alignment horizontal="left" vertical="center"/>
    </xf>
    <xf numFmtId="14" fontId="2" fillId="7" borderId="10" xfId="0" applyNumberFormat="1" applyFont="1" applyFill="1" applyBorder="1" applyAlignment="1">
      <alignment horizontal="left" vertical="center"/>
    </xf>
    <xf numFmtId="0" fontId="2" fillId="7" borderId="10" xfId="0" applyFont="1" applyFill="1" applyBorder="1" applyAlignment="1">
      <alignment horizontal="left" vertical="center"/>
    </xf>
    <xf numFmtId="0" fontId="2" fillId="7" borderId="11" xfId="0" applyFont="1" applyFill="1" applyBorder="1" applyAlignment="1">
      <alignment horizontal="left" vertical="center"/>
    </xf>
    <xf numFmtId="0" fontId="0" fillId="0" borderId="0" xfId="0" pivotButton="1"/>
    <xf numFmtId="0" fontId="0" fillId="0" borderId="0" xfId="0" applyAlignment="1">
      <alignment horizontal="left"/>
    </xf>
    <xf numFmtId="14" fontId="2" fillId="7" borderId="12" xfId="0" applyNumberFormat="1" applyFont="1" applyFill="1" applyBorder="1" applyAlignment="1">
      <alignment horizontal="left" vertical="center"/>
    </xf>
    <xf numFmtId="14" fontId="2" fillId="7" borderId="13" xfId="0" applyNumberFormat="1" applyFont="1" applyFill="1" applyBorder="1" applyAlignment="1">
      <alignment horizontal="left" vertical="center"/>
    </xf>
    <xf numFmtId="0" fontId="2" fillId="7" borderId="13" xfId="0" applyFont="1" applyFill="1" applyBorder="1" applyAlignment="1">
      <alignment horizontal="left" vertical="center"/>
    </xf>
    <xf numFmtId="0" fontId="2" fillId="7" borderId="14" xfId="0" applyFont="1" applyFill="1" applyBorder="1" applyAlignment="1">
      <alignment horizontal="left" vertical="center"/>
    </xf>
    <xf numFmtId="0" fontId="7" fillId="0" borderId="0" xfId="0" applyFont="1" applyAlignment="1">
      <alignment horizontal="left" vertical="center"/>
    </xf>
    <xf numFmtId="0" fontId="13" fillId="6" borderId="10" xfId="0" applyFont="1" applyFill="1" applyBorder="1" applyAlignment="1">
      <alignment horizontal="left" vertical="center"/>
    </xf>
    <xf numFmtId="14" fontId="7" fillId="7" borderId="10" xfId="0" applyNumberFormat="1" applyFont="1" applyFill="1" applyBorder="1" applyAlignment="1">
      <alignment horizontal="left" vertical="center"/>
    </xf>
    <xf numFmtId="0" fontId="7" fillId="7" borderId="10" xfId="0" applyFont="1" applyFill="1" applyBorder="1" applyAlignment="1">
      <alignment horizontal="left" vertical="center"/>
    </xf>
    <xf numFmtId="164" fontId="7" fillId="7" borderId="10" xfId="0" applyNumberFormat="1" applyFont="1" applyFill="1" applyBorder="1" applyAlignment="1">
      <alignment horizontal="left" vertical="center"/>
    </xf>
    <xf numFmtId="0" fontId="13" fillId="6" borderId="1" xfId="0" applyFont="1" applyFill="1" applyBorder="1" applyAlignment="1">
      <alignment horizontal="center" vertical="center"/>
    </xf>
    <xf numFmtId="164" fontId="7" fillId="7" borderId="11" xfId="0" applyNumberFormat="1" applyFont="1" applyFill="1" applyBorder="1" applyAlignment="1">
      <alignment horizontal="left" vertical="center"/>
    </xf>
    <xf numFmtId="0" fontId="7" fillId="8" borderId="1" xfId="0" applyFont="1" applyFill="1" applyBorder="1" applyAlignment="1">
      <alignment horizontal="left" vertical="center"/>
    </xf>
    <xf numFmtId="164" fontId="7" fillId="0" borderId="1" xfId="0" applyNumberFormat="1" applyFont="1" applyBorder="1" applyAlignment="1">
      <alignment horizontal="center" vertical="center"/>
    </xf>
    <xf numFmtId="0" fontId="0" fillId="0" borderId="0" xfId="0" applyAlignment="1">
      <alignment vertical="center" wrapText="1"/>
    </xf>
    <xf numFmtId="0" fontId="14" fillId="0" borderId="1" xfId="0" applyFont="1" applyBorder="1" applyAlignment="1">
      <alignment horizontal="center" vertical="center" wrapText="1"/>
    </xf>
    <xf numFmtId="0" fontId="0" fillId="0" borderId="1" xfId="0" applyBorder="1" applyAlignment="1">
      <alignment vertical="center" wrapText="1"/>
    </xf>
    <xf numFmtId="0" fontId="11"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0" xfId="0" applyFont="1" applyAlignment="1">
      <alignment vertical="center"/>
    </xf>
    <xf numFmtId="0" fontId="18" fillId="0" borderId="0" xfId="0" applyFont="1"/>
    <xf numFmtId="0" fontId="11" fillId="0" borderId="1" xfId="0" pivotButton="1" applyFont="1" applyBorder="1"/>
    <xf numFmtId="0" fontId="11" fillId="0" borderId="1" xfId="0" applyFont="1" applyBorder="1"/>
    <xf numFmtId="0" fontId="18" fillId="0" borderId="1" xfId="0" applyFont="1" applyBorder="1" applyAlignment="1">
      <alignment horizontal="left"/>
    </xf>
    <xf numFmtId="165" fontId="18" fillId="0" borderId="1" xfId="0" applyNumberFormat="1" applyFont="1" applyBorder="1"/>
    <xf numFmtId="0" fontId="18" fillId="0" borderId="1" xfId="0" applyFont="1" applyBorder="1" applyAlignment="1">
      <alignment horizontal="left" indent="1"/>
    </xf>
    <xf numFmtId="0" fontId="0" fillId="0" borderId="0" xfId="0" applyAlignment="1">
      <alignment wrapText="1"/>
    </xf>
    <xf numFmtId="0" fontId="19" fillId="9" borderId="1" xfId="0" applyFont="1" applyFill="1" applyBorder="1" applyAlignment="1">
      <alignment horizontal="center" vertical="center" wrapText="1"/>
    </xf>
    <xf numFmtId="0" fontId="20" fillId="0" borderId="1" xfId="0" applyFont="1" applyBorder="1" applyAlignment="1">
      <alignment horizontal="center" vertical="center" wrapText="1"/>
    </xf>
    <xf numFmtId="1" fontId="20"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wrapText="1"/>
    </xf>
    <xf numFmtId="0" fontId="23" fillId="0" borderId="1" xfId="0" applyFont="1" applyBorder="1" applyAlignment="1">
      <alignment horizontal="center" vertical="center" wrapText="1"/>
    </xf>
    <xf numFmtId="0" fontId="22" fillId="0" borderId="1" xfId="0" applyFont="1" applyBorder="1" applyAlignment="1">
      <alignment wrapText="1"/>
    </xf>
    <xf numFmtId="0" fontId="0" fillId="0" borderId="1" xfId="0" applyBorder="1" applyAlignment="1">
      <alignment wrapText="1"/>
    </xf>
    <xf numFmtId="0" fontId="1" fillId="0" borderId="0" xfId="0" applyFont="1" applyAlignment="1">
      <alignment horizontal="center" vertical="center" wrapText="1"/>
    </xf>
    <xf numFmtId="0" fontId="24" fillId="0" borderId="0" xfId="0" applyFont="1" applyAlignment="1">
      <alignment vertical="center" wrapText="1"/>
    </xf>
    <xf numFmtId="0" fontId="0" fillId="0" borderId="0" xfId="0" applyAlignment="1">
      <alignment horizontal="center" vertical="center" wrapText="1"/>
    </xf>
    <xf numFmtId="0" fontId="25" fillId="10" borderId="1" xfId="0" applyFont="1" applyFill="1" applyBorder="1" applyAlignment="1">
      <alignment horizontal="center" vertical="center" wrapText="1"/>
    </xf>
    <xf numFmtId="1" fontId="25" fillId="10" borderId="1" xfId="0" applyNumberFormat="1" applyFont="1" applyFill="1" applyBorder="1" applyAlignment="1">
      <alignment horizontal="center" vertical="center" wrapText="1"/>
    </xf>
    <xf numFmtId="0" fontId="26" fillId="0" borderId="0" xfId="0" applyFont="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11"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30" fillId="0" borderId="0" xfId="0" applyFont="1" applyAlignment="1">
      <alignment horizontal="center" vertical="center" wrapText="1"/>
    </xf>
    <xf numFmtId="0" fontId="29" fillId="11" borderId="15" xfId="0" applyFont="1" applyFill="1" applyBorder="1" applyAlignment="1">
      <alignment horizontal="center" vertical="center" wrapText="1"/>
    </xf>
    <xf numFmtId="0" fontId="29" fillId="11" borderId="16" xfId="0" applyFont="1" applyFill="1" applyBorder="1" applyAlignment="1">
      <alignment horizontal="center" vertical="center" wrapText="1"/>
    </xf>
    <xf numFmtId="0" fontId="29" fillId="11" borderId="17" xfId="0" applyFont="1" applyFill="1" applyBorder="1" applyAlignment="1">
      <alignment horizontal="center" vertical="center" wrapText="1"/>
    </xf>
    <xf numFmtId="0" fontId="31" fillId="0" borderId="0" xfId="1" applyFont="1"/>
    <xf numFmtId="0" fontId="32" fillId="12" borderId="10" xfId="1" applyFont="1" applyFill="1" applyBorder="1" applyAlignment="1">
      <alignment horizontal="center" vertical="center"/>
    </xf>
    <xf numFmtId="14" fontId="31" fillId="13" borderId="10" xfId="1" applyNumberFormat="1" applyFont="1" applyFill="1" applyBorder="1" applyAlignment="1">
      <alignment horizontal="center" vertical="center"/>
    </xf>
    <xf numFmtId="0" fontId="31" fillId="13" borderId="10" xfId="1" applyFont="1" applyFill="1" applyBorder="1" applyAlignment="1">
      <alignment horizontal="center" vertical="center"/>
    </xf>
    <xf numFmtId="164" fontId="31" fillId="13" borderId="10" xfId="1" applyNumberFormat="1" applyFont="1" applyFill="1" applyBorder="1" applyAlignment="1">
      <alignment horizontal="center" vertical="center"/>
    </xf>
    <xf numFmtId="14" fontId="31" fillId="7" borderId="0" xfId="1" applyNumberFormat="1" applyFont="1" applyFill="1" applyAlignment="1">
      <alignment horizontal="center" vertical="center"/>
    </xf>
    <xf numFmtId="0" fontId="31" fillId="7" borderId="0" xfId="1" applyFont="1" applyFill="1" applyAlignment="1">
      <alignment horizontal="center" vertical="center"/>
    </xf>
    <xf numFmtId="164" fontId="31" fillId="7" borderId="0" xfId="1" applyNumberFormat="1" applyFont="1" applyFill="1" applyAlignment="1">
      <alignment horizontal="center" vertical="center"/>
    </xf>
    <xf numFmtId="0" fontId="31" fillId="0" borderId="0" xfId="1" applyFont="1" applyAlignment="1">
      <alignment horizontal="center" vertical="center"/>
    </xf>
    <xf numFmtId="0" fontId="26" fillId="14" borderId="10" xfId="1" applyFont="1" applyFill="1" applyBorder="1" applyAlignment="1">
      <alignment horizontal="center" vertical="center"/>
    </xf>
    <xf numFmtId="0" fontId="31" fillId="7" borderId="10" xfId="1" applyFont="1" applyFill="1" applyBorder="1" applyAlignment="1">
      <alignment horizontal="center" vertical="center"/>
    </xf>
    <xf numFmtId="164" fontId="31" fillId="7" borderId="10" xfId="1" applyNumberFormat="1" applyFont="1" applyFill="1" applyBorder="1" applyAlignment="1">
      <alignment horizontal="center" vertical="center"/>
    </xf>
    <xf numFmtId="14" fontId="31" fillId="7" borderId="10" xfId="1" applyNumberFormat="1" applyFont="1" applyFill="1" applyBorder="1" applyAlignment="1">
      <alignment horizontal="center" vertical="center"/>
    </xf>
    <xf numFmtId="0" fontId="31" fillId="0" borderId="10" xfId="1" applyFont="1" applyBorder="1" applyAlignment="1">
      <alignment horizontal="center" vertical="center"/>
    </xf>
    <xf numFmtId="0" fontId="33" fillId="0" borderId="0" xfId="1" applyFont="1"/>
    <xf numFmtId="0" fontId="34" fillId="12" borderId="10" xfId="1" applyFont="1" applyFill="1" applyBorder="1" applyAlignment="1">
      <alignment horizontal="center" vertical="center"/>
    </xf>
    <xf numFmtId="0" fontId="35" fillId="0" borderId="0" xfId="1" applyFont="1" applyAlignment="1">
      <alignment horizontal="center" vertical="center"/>
    </xf>
    <xf numFmtId="0" fontId="35" fillId="13" borderId="10" xfId="1" applyFont="1" applyFill="1" applyBorder="1" applyAlignment="1">
      <alignment horizontal="center" vertical="center"/>
    </xf>
    <xf numFmtId="164" fontId="35" fillId="13" borderId="10" xfId="1" applyNumberFormat="1" applyFont="1" applyFill="1" applyBorder="1" applyAlignment="1">
      <alignment horizontal="center" vertical="center"/>
    </xf>
    <xf numFmtId="14" fontId="35" fillId="13" borderId="10" xfId="1" applyNumberFormat="1" applyFont="1" applyFill="1" applyBorder="1" applyAlignment="1">
      <alignment horizontal="center" vertical="center"/>
    </xf>
    <xf numFmtId="0" fontId="36" fillId="15" borderId="10" xfId="1" applyFont="1" applyFill="1" applyBorder="1" applyAlignment="1">
      <alignment horizontal="center" vertical="center"/>
    </xf>
    <xf numFmtId="0" fontId="36" fillId="7" borderId="10" xfId="1" applyFont="1" applyFill="1" applyBorder="1" applyAlignment="1">
      <alignment horizontal="center" vertical="center"/>
    </xf>
    <xf numFmtId="0" fontId="37" fillId="7" borderId="10" xfId="1" applyFont="1" applyFill="1" applyBorder="1" applyAlignment="1">
      <alignment horizontal="center" vertical="center"/>
    </xf>
    <xf numFmtId="0" fontId="37" fillId="0" borderId="10" xfId="1" applyFont="1" applyBorder="1" applyAlignment="1">
      <alignment horizontal="center" vertical="center"/>
    </xf>
    <xf numFmtId="164" fontId="35" fillId="7" borderId="10" xfId="1" applyNumberFormat="1" applyFont="1" applyFill="1" applyBorder="1" applyAlignment="1">
      <alignment horizontal="center" vertical="center"/>
    </xf>
    <xf numFmtId="14" fontId="35" fillId="7" borderId="10" xfId="1" applyNumberFormat="1" applyFont="1" applyFill="1" applyBorder="1" applyAlignment="1">
      <alignment horizontal="center" vertical="center"/>
    </xf>
    <xf numFmtId="14" fontId="36" fillId="15" borderId="10" xfId="1" applyNumberFormat="1" applyFont="1" applyFill="1" applyBorder="1" applyAlignment="1">
      <alignment horizontal="center" vertical="center"/>
    </xf>
    <xf numFmtId="0" fontId="35" fillId="7" borderId="0" xfId="1" applyFont="1" applyFill="1" applyAlignment="1">
      <alignment horizontal="center" vertical="center"/>
    </xf>
    <xf numFmtId="14" fontId="35" fillId="7" borderId="0" xfId="1" applyNumberFormat="1" applyFont="1" applyFill="1" applyAlignment="1">
      <alignment horizontal="center" vertical="center"/>
    </xf>
    <xf numFmtId="164" fontId="35" fillId="0" borderId="0" xfId="1" applyNumberFormat="1" applyFont="1" applyAlignment="1">
      <alignment horizontal="center" vertical="center"/>
    </xf>
    <xf numFmtId="0" fontId="35" fillId="13" borderId="13" xfId="1" applyFont="1" applyFill="1" applyBorder="1" applyAlignment="1">
      <alignment horizontal="center" vertical="center"/>
    </xf>
    <xf numFmtId="14" fontId="35" fillId="13" borderId="13" xfId="1" applyNumberFormat="1" applyFont="1" applyFill="1" applyBorder="1" applyAlignment="1">
      <alignment horizontal="center" vertical="center"/>
    </xf>
    <xf numFmtId="0" fontId="35" fillId="13" borderId="18" xfId="1" applyFont="1" applyFill="1" applyBorder="1" applyAlignment="1">
      <alignment horizontal="center" vertical="center"/>
    </xf>
    <xf numFmtId="14" fontId="35" fillId="13" borderId="18" xfId="1" applyNumberFormat="1" applyFont="1" applyFill="1" applyBorder="1" applyAlignment="1">
      <alignment horizontal="center" vertical="center"/>
    </xf>
    <xf numFmtId="2" fontId="38" fillId="16" borderId="10" xfId="1" applyNumberFormat="1" applyFont="1" applyFill="1" applyBorder="1" applyAlignment="1">
      <alignment horizontal="center" vertical="center"/>
    </xf>
    <xf numFmtId="0" fontId="39" fillId="7" borderId="0" xfId="1" applyFont="1" applyFill="1" applyAlignment="1">
      <alignment horizontal="center" vertical="center"/>
    </xf>
    <xf numFmtId="0" fontId="40" fillId="0" borderId="0" xfId="1" applyFont="1" applyAlignment="1">
      <alignment horizontal="center" vertical="center"/>
    </xf>
    <xf numFmtId="2" fontId="39" fillId="13" borderId="10" xfId="1" applyNumberFormat="1" applyFont="1" applyFill="1" applyBorder="1" applyAlignment="1">
      <alignment horizontal="center" vertical="center"/>
    </xf>
    <xf numFmtId="164" fontId="39" fillId="13" borderId="10" xfId="1" applyNumberFormat="1" applyFont="1" applyFill="1" applyBorder="1" applyAlignment="1">
      <alignment horizontal="center" vertical="center"/>
    </xf>
    <xf numFmtId="0" fontId="41" fillId="15" borderId="10" xfId="1" applyFont="1" applyFill="1" applyBorder="1" applyAlignment="1">
      <alignment horizontal="center" vertical="center"/>
    </xf>
    <xf numFmtId="0" fontId="42" fillId="7" borderId="10" xfId="1" applyFont="1" applyFill="1" applyBorder="1" applyAlignment="1">
      <alignment horizontal="center" vertical="center"/>
    </xf>
    <xf numFmtId="164" fontId="43" fillId="7" borderId="10" xfId="1" applyNumberFormat="1" applyFont="1" applyFill="1" applyBorder="1" applyAlignment="1">
      <alignment horizontal="center" vertical="center"/>
    </xf>
    <xf numFmtId="0" fontId="40" fillId="7" borderId="0" xfId="1" applyFont="1" applyFill="1" applyAlignment="1">
      <alignment horizontal="center" vertical="center"/>
    </xf>
    <xf numFmtId="0" fontId="38" fillId="16" borderId="10" xfId="1" applyFont="1" applyFill="1" applyBorder="1" applyAlignment="1">
      <alignment horizontal="center" vertical="center"/>
    </xf>
    <xf numFmtId="0" fontId="41" fillId="7" borderId="10" xfId="1" applyFont="1" applyFill="1" applyBorder="1" applyAlignment="1">
      <alignment horizontal="center" vertical="center"/>
    </xf>
    <xf numFmtId="14" fontId="41" fillId="7" borderId="10" xfId="1" applyNumberFormat="1" applyFont="1" applyFill="1" applyBorder="1" applyAlignment="1">
      <alignment horizontal="center" vertical="center"/>
    </xf>
    <xf numFmtId="0" fontId="39" fillId="13" borderId="10" xfId="1" applyFont="1" applyFill="1" applyBorder="1" applyAlignment="1">
      <alignment horizontal="center" vertical="center"/>
    </xf>
    <xf numFmtId="14" fontId="39" fillId="13" borderId="10" xfId="1" applyNumberFormat="1" applyFont="1" applyFill="1" applyBorder="1" applyAlignment="1">
      <alignment horizontal="center" vertical="center"/>
    </xf>
    <xf numFmtId="164" fontId="40" fillId="7" borderId="10" xfId="1" applyNumberFormat="1" applyFont="1" applyFill="1" applyBorder="1" applyAlignment="1">
      <alignment horizontal="center" vertical="center"/>
    </xf>
    <xf numFmtId="14" fontId="40" fillId="7" borderId="10" xfId="1" applyNumberFormat="1" applyFont="1" applyFill="1" applyBorder="1" applyAlignment="1">
      <alignment horizontal="center" vertical="center"/>
    </xf>
    <xf numFmtId="0" fontId="39" fillId="13" borderId="13" xfId="1" applyFont="1" applyFill="1" applyBorder="1" applyAlignment="1">
      <alignment horizontal="center" vertical="center"/>
    </xf>
    <xf numFmtId="14" fontId="39" fillId="13" borderId="13" xfId="1" applyNumberFormat="1" applyFont="1" applyFill="1" applyBorder="1" applyAlignment="1">
      <alignment horizontal="center" vertical="center"/>
    </xf>
    <xf numFmtId="0" fontId="39" fillId="13" borderId="18" xfId="1" applyFont="1" applyFill="1" applyBorder="1" applyAlignment="1">
      <alignment horizontal="center" vertical="center"/>
    </xf>
    <xf numFmtId="14" fontId="39" fillId="13" borderId="18" xfId="1" applyNumberFormat="1" applyFont="1" applyFill="1" applyBorder="1" applyAlignment="1">
      <alignment horizontal="center" vertical="center"/>
    </xf>
    <xf numFmtId="0" fontId="44" fillId="0" borderId="0" xfId="1"/>
    <xf numFmtId="0" fontId="45" fillId="17" borderId="1" xfId="0" applyFont="1" applyFill="1" applyBorder="1" applyAlignment="1">
      <alignment horizontal="center" vertical="center" wrapText="1"/>
    </xf>
    <xf numFmtId="14" fontId="46" fillId="18" borderId="1" xfId="0" applyNumberFormat="1"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7" fillId="4" borderId="1" xfId="0" applyFont="1" applyFill="1" applyBorder="1" applyAlignment="1">
      <alignment horizontal="center" vertical="center" wrapText="1"/>
    </xf>
    <xf numFmtId="0" fontId="47" fillId="3" borderId="15" xfId="0" applyFont="1" applyFill="1" applyBorder="1" applyAlignment="1">
      <alignment horizontal="center" vertical="center" wrapText="1"/>
    </xf>
    <xf numFmtId="0" fontId="47" fillId="0" borderId="1" xfId="0" applyFont="1" applyBorder="1" applyAlignment="1">
      <alignment horizontal="center" vertical="center" wrapText="1"/>
    </xf>
    <xf numFmtId="0" fontId="48" fillId="0" borderId="1" xfId="0" applyFont="1" applyBorder="1" applyAlignment="1">
      <alignment horizontal="center" vertical="center" wrapText="1"/>
    </xf>
    <xf numFmtId="164" fontId="48" fillId="0" borderId="1" xfId="0" applyNumberFormat="1" applyFont="1" applyBorder="1" applyAlignment="1">
      <alignment horizontal="center" vertical="center" wrapText="1"/>
    </xf>
    <xf numFmtId="0" fontId="47" fillId="3" borderId="16" xfId="0" applyFont="1" applyFill="1" applyBorder="1" applyAlignment="1">
      <alignment horizontal="center" vertical="center" wrapText="1"/>
    </xf>
    <xf numFmtId="0" fontId="47" fillId="3" borderId="17" xfId="0" applyFont="1" applyFill="1" applyBorder="1" applyAlignment="1">
      <alignment horizontal="center" vertical="center" wrapText="1"/>
    </xf>
    <xf numFmtId="8" fontId="46" fillId="18" borderId="1" xfId="0" applyNumberFormat="1" applyFont="1" applyFill="1" applyBorder="1" applyAlignment="1">
      <alignment horizontal="center" vertical="center" wrapText="1"/>
    </xf>
    <xf numFmtId="0" fontId="49" fillId="19" borderId="1" xfId="0" applyFont="1" applyFill="1" applyBorder="1" applyAlignment="1">
      <alignment horizontal="center" vertical="center" wrapText="1"/>
    </xf>
    <xf numFmtId="0" fontId="50" fillId="20" borderId="1" xfId="0" applyFont="1" applyFill="1" applyBorder="1" applyAlignment="1">
      <alignment horizontal="center" vertical="center" wrapText="1"/>
    </xf>
    <xf numFmtId="0" fontId="48" fillId="20" borderId="1" xfId="0" applyFont="1" applyFill="1" applyBorder="1" applyAlignment="1">
      <alignment horizontal="center" vertical="center" wrapText="1"/>
    </xf>
    <xf numFmtId="164" fontId="48" fillId="20" borderId="1" xfId="0" applyNumberFormat="1" applyFont="1" applyFill="1" applyBorder="1" applyAlignment="1">
      <alignment horizontal="center" vertical="center" wrapText="1"/>
    </xf>
    <xf numFmtId="0" fontId="51" fillId="21" borderId="1" xfId="0" applyFont="1" applyFill="1" applyBorder="1" applyAlignment="1">
      <alignment horizontal="center" vertical="center" wrapText="1"/>
    </xf>
    <xf numFmtId="14" fontId="48" fillId="0" borderId="1" xfId="0" applyNumberFormat="1" applyFont="1" applyBorder="1" applyAlignment="1">
      <alignment horizontal="center" vertical="center" wrapText="1"/>
    </xf>
    <xf numFmtId="0" fontId="49" fillId="3" borderId="1" xfId="0" applyFont="1" applyFill="1" applyBorder="1" applyAlignment="1">
      <alignment horizontal="center" vertical="center" wrapText="1"/>
    </xf>
    <xf numFmtId="0" fontId="52" fillId="18" borderId="1" xfId="0" applyFont="1" applyFill="1" applyBorder="1" applyAlignment="1">
      <alignment horizontal="center" vertical="center" wrapText="1"/>
    </xf>
    <xf numFmtId="8" fontId="48" fillId="0" borderId="1" xfId="0" applyNumberFormat="1" applyFont="1" applyBorder="1" applyAlignment="1">
      <alignment horizontal="center" vertical="center" wrapText="1"/>
    </xf>
    <xf numFmtId="0" fontId="53" fillId="12" borderId="10" xfId="1" applyFont="1" applyFill="1" applyBorder="1" applyAlignment="1">
      <alignment horizontal="center" vertical="center" wrapText="1"/>
    </xf>
    <xf numFmtId="0" fontId="46" fillId="13" borderId="10" xfId="1" applyFont="1" applyFill="1" applyBorder="1" applyAlignment="1">
      <alignment horizontal="center" vertical="center" wrapText="1"/>
    </xf>
    <xf numFmtId="14" fontId="46" fillId="13" borderId="10" xfId="1" applyNumberFormat="1" applyFont="1" applyFill="1" applyBorder="1" applyAlignment="1">
      <alignment horizontal="center" vertical="center" wrapText="1"/>
    </xf>
    <xf numFmtId="164" fontId="46" fillId="13" borderId="10" xfId="1" applyNumberFormat="1" applyFont="1" applyFill="1" applyBorder="1" applyAlignment="1">
      <alignment horizontal="center" vertical="center" wrapText="1"/>
    </xf>
    <xf numFmtId="0" fontId="46" fillId="13" borderId="13" xfId="1" applyFont="1" applyFill="1" applyBorder="1" applyAlignment="1">
      <alignment horizontal="center" vertical="center" wrapText="1"/>
    </xf>
    <xf numFmtId="14" fontId="46" fillId="13" borderId="13" xfId="1" applyNumberFormat="1" applyFont="1" applyFill="1" applyBorder="1" applyAlignment="1">
      <alignment horizontal="center" vertical="center" wrapText="1"/>
    </xf>
    <xf numFmtId="0" fontId="46" fillId="13" borderId="18" xfId="1" applyFont="1" applyFill="1" applyBorder="1" applyAlignment="1">
      <alignment horizontal="center" vertical="center" wrapText="1"/>
    </xf>
    <xf numFmtId="14" fontId="46" fillId="13" borderId="18" xfId="1" applyNumberFormat="1" applyFont="1" applyFill="1" applyBorder="1" applyAlignment="1">
      <alignment horizontal="center" vertical="center" wrapText="1"/>
    </xf>
    <xf numFmtId="0" fontId="53" fillId="12" borderId="0" xfId="1" applyFont="1" applyFill="1" applyAlignment="1">
      <alignment horizontal="center" vertical="center" wrapText="1"/>
    </xf>
    <xf numFmtId="0" fontId="46" fillId="13" borderId="0" xfId="1" applyFont="1" applyFill="1" applyAlignment="1">
      <alignment horizontal="center" vertical="center" wrapText="1"/>
    </xf>
    <xf numFmtId="14" fontId="46" fillId="13" borderId="0" xfId="1" applyNumberFormat="1" applyFont="1" applyFill="1" applyAlignment="1">
      <alignment horizontal="center" vertical="center" wrapText="1"/>
    </xf>
    <xf numFmtId="164" fontId="46" fillId="13" borderId="0" xfId="1" applyNumberFormat="1" applyFont="1" applyFill="1" applyAlignment="1">
      <alignment horizontal="center" vertical="center" wrapText="1"/>
    </xf>
    <xf numFmtId="0" fontId="0" fillId="9" borderId="1" xfId="0" applyFill="1" applyBorder="1"/>
    <xf numFmtId="0" fontId="0" fillId="0" borderId="19" xfId="0" applyBorder="1"/>
    <xf numFmtId="0" fontId="0" fillId="0" borderId="17" xfId="0" applyBorder="1"/>
    <xf numFmtId="0" fontId="0" fillId="0" borderId="20" xfId="0" applyBorder="1"/>
    <xf numFmtId="0" fontId="54" fillId="22" borderId="1" xfId="0" applyFont="1" applyFill="1" applyBorder="1"/>
    <xf numFmtId="0" fontId="54" fillId="22" borderId="1" xfId="0" applyFont="1" applyFill="1" applyBorder="1" applyAlignment="1">
      <alignment horizontal="center"/>
    </xf>
    <xf numFmtId="0" fontId="0" fillId="0" borderId="21" xfId="0" applyBorder="1"/>
    <xf numFmtId="0" fontId="0" fillId="0" borderId="1" xfId="0" applyBorder="1"/>
    <xf numFmtId="164" fontId="0" fillId="0" borderId="2" xfId="0" applyNumberFormat="1" applyBorder="1"/>
    <xf numFmtId="164" fontId="0" fillId="0" borderId="1" xfId="0" applyNumberFormat="1" applyBorder="1"/>
    <xf numFmtId="0" fontId="0" fillId="0" borderId="22" xfId="0" applyBorder="1"/>
    <xf numFmtId="0" fontId="0" fillId="0" borderId="15" xfId="0" applyBorder="1"/>
    <xf numFmtId="164" fontId="0" fillId="0" borderId="23" xfId="0" applyNumberFormat="1" applyBorder="1"/>
    <xf numFmtId="0" fontId="55" fillId="23" borderId="2" xfId="0" applyFont="1" applyFill="1" applyBorder="1" applyAlignment="1">
      <alignment horizontal="center" vertical="center"/>
    </xf>
    <xf numFmtId="0" fontId="55" fillId="23" borderId="3" xfId="0" applyFont="1" applyFill="1" applyBorder="1" applyAlignment="1">
      <alignment horizontal="center" vertical="center"/>
    </xf>
    <xf numFmtId="0" fontId="55" fillId="23" borderId="21" xfId="0" applyFont="1" applyFill="1" applyBorder="1" applyAlignment="1">
      <alignment horizontal="center" vertical="center"/>
    </xf>
    <xf numFmtId="0" fontId="56" fillId="24" borderId="0" xfId="0" applyFont="1" applyFill="1" applyAlignment="1">
      <alignment horizontal="center" vertical="center"/>
    </xf>
    <xf numFmtId="0" fontId="56" fillId="24" borderId="5" xfId="0" applyFont="1" applyFill="1" applyBorder="1" applyAlignment="1">
      <alignment horizontal="center" vertical="center"/>
    </xf>
    <xf numFmtId="0" fontId="57" fillId="24" borderId="5" xfId="1" applyFont="1" applyFill="1" applyBorder="1" applyAlignment="1">
      <alignment horizontal="center" vertical="center"/>
    </xf>
    <xf numFmtId="0" fontId="58" fillId="25" borderId="24" xfId="0" applyFont="1" applyFill="1" applyBorder="1" applyAlignment="1">
      <alignment horizontal="center" vertical="center"/>
    </xf>
    <xf numFmtId="0" fontId="58" fillId="25" borderId="23" xfId="0" applyFont="1" applyFill="1" applyBorder="1" applyAlignment="1">
      <alignment horizontal="center" vertical="center"/>
    </xf>
    <xf numFmtId="0" fontId="59" fillId="25" borderId="23" xfId="1" applyFont="1" applyFill="1" applyBorder="1" applyAlignment="1">
      <alignment horizontal="center" vertical="center"/>
    </xf>
    <xf numFmtId="0" fontId="59" fillId="26" borderId="23" xfId="0" applyFont="1" applyFill="1" applyBorder="1" applyAlignment="1">
      <alignment horizontal="center" vertical="center"/>
    </xf>
    <xf numFmtId="0" fontId="59" fillId="0" borderId="24" xfId="0" applyFont="1" applyBorder="1" applyAlignment="1">
      <alignment horizontal="center" vertical="center"/>
    </xf>
    <xf numFmtId="0" fontId="59" fillId="0" borderId="23" xfId="0" applyFont="1" applyBorder="1" applyAlignment="1">
      <alignment horizontal="center" vertical="center"/>
    </xf>
    <xf numFmtId="0" fontId="58" fillId="25" borderId="24" xfId="0" applyFont="1" applyFill="1" applyBorder="1" applyAlignment="1">
      <alignment horizontal="center" vertical="center" wrapText="1"/>
    </xf>
    <xf numFmtId="0" fontId="58" fillId="25" borderId="23" xfId="0" applyFont="1" applyFill="1" applyBorder="1" applyAlignment="1">
      <alignment horizontal="center" vertical="center" wrapText="1"/>
    </xf>
    <xf numFmtId="0" fontId="59" fillId="25" borderId="23" xfId="1" applyFont="1" applyFill="1" applyBorder="1" applyAlignment="1">
      <alignment horizontal="center" vertical="center" wrapText="1"/>
    </xf>
    <xf numFmtId="0" fontId="59" fillId="26" borderId="24" xfId="0" applyFont="1" applyFill="1" applyBorder="1" applyAlignment="1">
      <alignment horizontal="center" vertical="center"/>
    </xf>
    <xf numFmtId="0" fontId="60" fillId="0" borderId="1" xfId="0" applyFont="1" applyBorder="1" applyAlignment="1">
      <alignment horizontal="center" vertical="center"/>
    </xf>
    <xf numFmtId="0" fontId="44" fillId="0" borderId="0" xfId="1"/>
    <xf numFmtId="0" fontId="0" fillId="0" borderId="0" xfId="0" applyAlignment="1">
      <alignment horizontal="center" vertical="center"/>
    </xf>
    <xf numFmtId="0" fontId="1" fillId="0" borderId="19" xfId="0" applyFont="1" applyBorder="1" applyAlignment="1">
      <alignment horizontal="center" vertical="center"/>
    </xf>
    <xf numFmtId="0" fontId="1" fillId="0" borderId="17" xfId="0" applyFont="1" applyBorder="1" applyAlignment="1">
      <alignment horizontal="center" vertical="center"/>
    </xf>
    <xf numFmtId="0" fontId="1" fillId="0" borderId="20" xfId="0" applyFont="1" applyBorder="1" applyAlignment="1">
      <alignment horizontal="center" vertical="center"/>
    </xf>
    <xf numFmtId="0" fontId="0" fillId="0" borderId="1" xfId="0" pivotButton="1" applyBorder="1"/>
    <xf numFmtId="0" fontId="0" fillId="0" borderId="21"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left"/>
    </xf>
    <xf numFmtId="0" fontId="0" fillId="0" borderId="22" xfId="0" applyBorder="1" applyAlignment="1">
      <alignment horizontal="center" vertical="center"/>
    </xf>
    <xf numFmtId="0" fontId="0" fillId="0" borderId="15" xfId="0" applyBorder="1" applyAlignment="1">
      <alignment horizontal="center" vertical="center"/>
    </xf>
    <xf numFmtId="0" fontId="0" fillId="0" borderId="23" xfId="0" applyBorder="1" applyAlignment="1">
      <alignment horizontal="center" vertical="center"/>
    </xf>
    <xf numFmtId="0" fontId="1" fillId="0" borderId="1" xfId="0" applyFont="1" applyBorder="1" applyAlignment="1">
      <alignment horizontal="center" vertical="center"/>
    </xf>
  </cellXfs>
  <cellStyles count="2">
    <cellStyle name="Normal" xfId="0" builtinId="0"/>
    <cellStyle name="Normal 2" xfId="1"/>
  </cellStyles>
  <dxfs count="37">
    <dxf>
      <font>
        <b/>
        <i/>
        <strike val="0"/>
        <condense val="0"/>
        <extend val="0"/>
        <outline val="0"/>
        <shadow val="0"/>
        <u val="none"/>
        <vertAlign val="baseline"/>
        <sz val="18"/>
        <color theme="1"/>
        <name val="Times New Roman"/>
        <family val="1"/>
        <scheme val="none"/>
      </font>
      <fill>
        <patternFill patternType="solid">
          <fgColor rgb="FFF4B083"/>
          <bgColor rgb="FFF4B083"/>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border outline="0">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8"/>
        <color theme="1"/>
        <name val="Times New Roman"/>
        <family val="1"/>
        <scheme val="none"/>
      </font>
      <fill>
        <patternFill patternType="solid">
          <fgColor theme="0"/>
          <bgColor theme="0"/>
        </patternFill>
      </fill>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8"/>
        <color theme="1"/>
        <name val="Times New Roman"/>
        <family val="1"/>
        <scheme val="none"/>
      </font>
      <numFmt numFmtId="167" formatCode="dd/mm/yyyy"/>
      <fill>
        <patternFill patternType="solid">
          <fgColor theme="0"/>
          <bgColor theme="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8"/>
        <color theme="1"/>
        <name val="Times New Roman"/>
        <family val="1"/>
        <scheme val="none"/>
      </font>
      <fill>
        <patternFill patternType="solid">
          <fgColor theme="0"/>
          <bgColor theme="0"/>
        </patternFill>
      </fil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8"/>
        <color theme="1"/>
        <name val="Times New Roman"/>
        <family val="1"/>
        <scheme val="none"/>
      </font>
      <numFmt numFmtId="167" formatCode="dd/mm/yyyy"/>
      <fill>
        <patternFill patternType="solid">
          <fgColor theme="0"/>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8"/>
        <color theme="1"/>
        <name val="Times New Roman"/>
        <family val="1"/>
        <scheme val="none"/>
      </font>
      <fill>
        <patternFill patternType="solid">
          <fgColor theme="0"/>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8"/>
        <color theme="1"/>
        <name val="Times New Roman"/>
        <family val="1"/>
        <scheme val="none"/>
      </font>
      <fill>
        <patternFill patternType="solid">
          <fgColor theme="0"/>
          <bgColor theme="0"/>
        </patternFill>
      </fill>
      <alignment horizontal="left"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8"/>
        <color theme="1"/>
        <name val="Times New Roman"/>
        <family val="1"/>
        <scheme val="none"/>
      </font>
      <fill>
        <patternFill patternType="solid">
          <fgColor theme="0"/>
          <bgColor theme="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ookman Old Style"/>
        <scheme val="none"/>
      </font>
    </dxf>
    <dxf>
      <font>
        <sz val="11"/>
      </font>
    </dxf>
    <dxf>
      <font>
        <sz val="12"/>
      </font>
    </dxf>
    <dxf>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top style="thin">
          <color indexed="64"/>
        </top>
        <bottom style="thin">
          <color indexed="64"/>
        </bottom>
      </border>
    </dxf>
    <dxf>
      <font>
        <color rgb="FF9C0006"/>
      </font>
      <fill>
        <patternFill>
          <bgColor rgb="FFFFC7CE"/>
        </patternFill>
      </fill>
    </dxf>
    <dxf>
      <font>
        <b/>
        <i val="0"/>
      </font>
      <fill>
        <patternFill>
          <bgColor rgb="FF92D050"/>
        </patternFill>
      </fill>
    </dxf>
    <dxf>
      <font>
        <color rgb="FF006100"/>
      </font>
      <fill>
        <patternFill>
          <bgColor rgb="FFC6EFCE"/>
        </patternFill>
      </fill>
    </dxf>
    <dxf>
      <font>
        <b/>
        <i val="0"/>
        <strike val="0"/>
        <condense val="0"/>
        <extend val="0"/>
        <outline val="0"/>
        <shadow val="0"/>
        <u val="none"/>
        <vertAlign val="baseline"/>
        <sz val="12"/>
        <color auto="1"/>
        <name val="Calibri"/>
        <family val="2"/>
        <scheme val="none"/>
      </font>
      <fill>
        <patternFill patternType="solid">
          <fgColor indexed="64"/>
          <bgColor theme="8" tint="0.799981688894314"/>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none"/>
      </font>
      <fill>
        <patternFill patternType="solid">
          <fgColor indexed="64"/>
          <bgColor theme="0"/>
        </patternFill>
      </fill>
      <alignment horizontal="center"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Calibri"/>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s>
  <tableStyles count="0" defaultTableStyle="TableStyleMedium2" defaultPivotStyle="PivotStyleLight16"/>
  <colors>
    <mruColors>
      <color rgb="FFFF99FF"/>
    </mruColors>
  </colors>
  <extLst>
    <ext xmlns:x14="http://schemas.microsoft.com/office/spreadsheetml/2009/9/main" uri="{46F421CA-312F-682f-3DD2-61675219B42D}">
      <x14:dxfs count="0"/>
    </ex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externalLink" Target="externalLinks/externalLink1.xml" /><Relationship Id="rId25" Type="http://schemas.openxmlformats.org/officeDocument/2006/relationships/pivotCacheDefinition" Target="pivotCache/pivotCacheDefinition1.xml" /><Relationship Id="rId26" Type="http://schemas.openxmlformats.org/officeDocument/2006/relationships/pivotCacheDefinition" Target="pivotCache/pivotCacheDefinition2.xml" /><Relationship Id="rId27" Type="http://schemas.openxmlformats.org/officeDocument/2006/relationships/pivotCacheDefinition" Target="pivotCache/pivotCacheDefinition3.xml" /><Relationship Id="rId28" Type="http://schemas.microsoft.com/office/2007/relationships/slicerCache" Target="slicerCaches/slicerCache1.xml" /><Relationship Id="rId29" Type="http://schemas.microsoft.com/office/2007/relationships/slicerCache" Target="slicerCaches/slicerCache2.xml" /><Relationship Id="rId30" Type="http://schemas.openxmlformats.org/officeDocument/2006/relationships/customXml" Target="../customXml/item1.xml" /><Relationship Id="rId31" Type="http://schemas.openxmlformats.org/officeDocument/2006/relationships/styles" Target="styles.xml" /><Relationship Id="rId32" Type="http://schemas.openxmlformats.org/officeDocument/2006/relationships/theme" Target="theme/theme1.xml" /><Relationship Id="rId33" Type="http://schemas.openxmlformats.org/officeDocument/2006/relationships/calcChain" Target="calcChain.xml" /><Relationship Id="rId34" Type="http://schemas.openxmlformats.org/officeDocument/2006/relationships/sharedStrings" Target="sharedStrings.xml" /><Relationship Id="rId35" Type="http://schemas.openxmlformats.org/officeDocument/2006/relationships/connections" Target="connections.xml" /><Relationship Id="rId36" Type="http://schemas.openxmlformats.org/officeDocument/2006/relationships/sheetMetadata" Target="metadata.xml" /></Relationships>
</file>

<file path=xl/charts/chart1.xml><?xml version="1.0" encoding="utf-8"?>
<c:chartSpace xmlns:c="http://schemas.openxmlformats.org/drawingml/2006/chart" xmlns:r="http://schemas.openxmlformats.org/officeDocument/2006/relationships" xmlns:a="http://schemas.openxmlformats.org/drawingml/2006/main">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'BASIC CHARTS'!$D$1</c:f>
              <c:strCache>
                <c:ptCount val="1"/>
                <c:pt idx="0">
                  <c:v>Prices</c:v>
                </c:pt>
              </c:strCache>
            </c:strRef>
          </c:tx>
          <c:spPr>
            <a:solidFill>
              <a:schemeClr val="accent1"/>
            </a:solidFill>
            <a:ln>
              <a:noFill/>
            </a:ln>
            <a:effectLst/>
          </c:spPr>
          <c:invertIfNegative val="0"/>
          <c:cat>
            <c:strRef>
              <c:f>'BASIC CHARTS'!$C$2:$C$21</c:f>
              <c:strCache>
                <c:ptCount val="20"/>
                <c:pt idx="0">
                  <c:v>Beauty products</c:v>
                </c:pt>
                <c:pt idx="1">
                  <c:v>Mobile Accessories</c:v>
                </c:pt>
                <c:pt idx="2">
                  <c:v>Home décor</c:v>
                </c:pt>
                <c:pt idx="3">
                  <c:v>Kitchen ware</c:v>
                </c:pt>
                <c:pt idx="4">
                  <c:v>Smart watch</c:v>
                </c:pt>
                <c:pt idx="5">
                  <c:v>Baby products</c:v>
                </c:pt>
                <c:pt idx="6">
                  <c:v>Home décor</c:v>
                </c:pt>
                <c:pt idx="7">
                  <c:v>Jewellery</c:v>
                </c:pt>
                <c:pt idx="8">
                  <c:v>Perfumes</c:v>
                </c:pt>
                <c:pt idx="9">
                  <c:v>Personal care</c:v>
                </c:pt>
                <c:pt idx="10">
                  <c:v>Wrist Watch</c:v>
                </c:pt>
                <c:pt idx="11">
                  <c:v>Bass Headphones</c:v>
                </c:pt>
                <c:pt idx="12">
                  <c:v>Pet supplies</c:v>
                </c:pt>
                <c:pt idx="13">
                  <c:v>Health &amp; wellness</c:v>
                </c:pt>
                <c:pt idx="14">
                  <c:v>Beverages</c:v>
                </c:pt>
                <c:pt idx="15">
                  <c:v>Books</c:v>
                </c:pt>
                <c:pt idx="16">
                  <c:v>Beauty products</c:v>
                </c:pt>
                <c:pt idx="17">
                  <c:v>Smart watch</c:v>
                </c:pt>
                <c:pt idx="18">
                  <c:v>Perfumes</c:v>
                </c:pt>
                <c:pt idx="19">
                  <c:v>Wrist Watch</c:v>
                </c:pt>
              </c:strCache>
            </c:strRef>
          </c:cat>
          <c:val>
            <c:numRef>
              <c:f>'BASIC CHARTS'!$D$2:$D$21</c:f>
              <c:numCache>
                <c:formatCode>0</c:formatCode>
                <c:ptCount val="20"/>
                <c:pt idx="0" formatCode="0">
                  <c:v>6000</c:v>
                </c:pt>
                <c:pt idx="1" formatCode="0">
                  <c:v>5000</c:v>
                </c:pt>
                <c:pt idx="2" formatCode="0">
                  <c:v>7000</c:v>
                </c:pt>
                <c:pt idx="3" formatCode="0">
                  <c:v>8000</c:v>
                </c:pt>
                <c:pt idx="4" formatCode="0">
                  <c:v>10000</c:v>
                </c:pt>
                <c:pt idx="5" formatCode="0">
                  <c:v>15000</c:v>
                </c:pt>
                <c:pt idx="6" formatCode="0">
                  <c:v>9000</c:v>
                </c:pt>
                <c:pt idx="7" formatCode="0">
                  <c:v>18000</c:v>
                </c:pt>
                <c:pt idx="8" formatCode="0">
                  <c:v>25000</c:v>
                </c:pt>
                <c:pt idx="9" formatCode="0">
                  <c:v>10000</c:v>
                </c:pt>
                <c:pt idx="10" formatCode="0">
                  <c:v>30000</c:v>
                </c:pt>
                <c:pt idx="11" formatCode="0">
                  <c:v>25000</c:v>
                </c:pt>
                <c:pt idx="12" formatCode="0">
                  <c:v>45000</c:v>
                </c:pt>
                <c:pt idx="13" formatCode="0">
                  <c:v>30000</c:v>
                </c:pt>
                <c:pt idx="14" formatCode="0">
                  <c:v>36000</c:v>
                </c:pt>
                <c:pt idx="15" formatCode="0">
                  <c:v>35000</c:v>
                </c:pt>
                <c:pt idx="16" formatCode="0">
                  <c:v>40000</c:v>
                </c:pt>
                <c:pt idx="17" formatCode="0">
                  <c:v>50000</c:v>
                </c:pt>
                <c:pt idx="18" formatCode="0">
                  <c:v>70000</c:v>
                </c:pt>
                <c:pt idx="19" formatCode="0">
                  <c:v>80000</c:v>
                </c:pt>
              </c:numCache>
            </c:numRef>
          </c:val>
        </c:ser>
        <c:dLbls>
          <c:showLegendKey val="0"/>
          <c:showVal val="0"/>
          <c:showCatName val="0"/>
          <c:showSerName val="0"/>
          <c:showPercent val="0"/>
          <c:showBubbleSize val="0"/>
        </c:dLbls>
        <c:gapWidth val="219"/>
        <c:overlap val="-27"/>
        <c:axId val="1"/>
        <c:axId val="2"/>
      </c:barChart>
      <c:catAx>
        <c:axId val="1"/>
        <c:scaling>
          <c:orientation val="minMax"/>
        </c:scaling>
        <c:delete val="0"/>
        <c:axPos val="b"/>
        <c:majorTickMark val="none"/>
        <c:minorTickMark val="none"/>
        <c:tickLblPos val="nextTo"/>
        <c:spPr>
          <a:noFill/>
          <a:ln w="9525"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
        <c:crosses val="autoZero"/>
        <c:auto val="1"/>
        <c:lblAlgn val="ctr"/>
        <c:lblOffset val="100"/>
        <c:noMultiLvlLbl val="0"/>
      </c:catAx>
      <c:valAx>
        <c:axId val="2"/>
        <c:scaling>
          <c:orientation val="minMax"/>
        </c:scaling>
        <c:delete val="0"/>
        <c:axPos val="l"/>
        <c:majorGridlines>
          <c:spPr>
            <a:ln w="9525"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crossBetween val="between"/>
      </c:valAx>
      <c:spPr>
        <a:noFill/>
        <a:ln>
          <a:noFill/>
        </a:ln>
        <a:effectLst/>
      </c:spPr>
    </c:plotArea>
    <c:plotVisOnly val="1"/>
    <c:dispBlanksAs val="gap"/>
    <c:showDLblsOverMax val="0"/>
  </c:chart>
  <c:spPr>
    <a:gradFill>
      <a:gsLst>
        <a:gs pos="0">
          <a:srgbClr val="FF99FF"/>
        </a:gs>
        <a:gs pos="100000">
          <a:schemeClr val="accent1">
            <a:lumMod val="30000"/>
            <a:lumOff val="70000"/>
          </a:schemeClr>
        </a:gs>
      </a:gsLst>
      <a:lin ang="5400000" scaled="1"/>
      <a:tileRect/>
    </a:gradFill>
    <a:ln w="9525" cmpd="sng" algn="ctr">
      <a:solidFill>
        <a:schemeClr val="tx1">
          <a:lumMod val="15000"/>
          <a:lumOff val="85000"/>
        </a:schemeClr>
      </a:solidFill>
      <a:round/>
    </a:ln>
    <a:effectLst/>
  </c:spPr>
  <c:txPr>
    <a:bodyPr/>
    <a:lstStyle/>
    <a:p>
      <a:pPr>
        <a:defRPr/>
      </a:pPr>
      <a:endParaRPr lang="en-US"/>
    </a:p>
  </c:txPr>
  <c:printSettings>
    <c:headerFooter/>
    <c:pageMargins l="0.7" r="0.7" t="0.75" b="0.75" header="0.3" footer="0.3"/>
    <c:pageSetup/>
  </c:printSettings>
</c:chartSpace>
</file>

<file path=xl/charts/chart2.xml><?xml version="1.0" encoding="utf-8"?>
<c:chartSpace xmlns:c="http://schemas.openxmlformats.org/drawingml/2006/chart" xmlns:r="http://schemas.openxmlformats.org/officeDocument/2006/relationships" xmlns:a="http://schemas.openxmlformats.org/drawingml/2006/main">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DA EXCEL PRACTICE FILE BASIC.xlsx]PIVOT TABLE!PivotTable1</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s>
    <c:plotArea>
      <c:layout/>
      <c:barChart>
        <c:barDir val="col"/>
        <c:grouping val="clustered"/>
        <c:varyColors val="0"/>
        <c:ser>
          <c:idx val="0"/>
          <c:order val="0"/>
          <c:tx>
            <c:strRef>
              <c:f>'PIVOT TABLE'!$B$3</c:f>
              <c:strCache>
                <c:ptCount val="1"/>
                <c:pt idx="0">
                  <c:v>Sum of Prices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cat>
            <c:strRef>
              <c:f>'PIVOT TABLE'!$A$4:$A$36</c:f>
              <c:strCache>
                <c:ptCount val="33"/>
                <c:pt idx="0">
                  <c:v>East</c:v>
                </c:pt>
                <c:pt idx="1">
                  <c:v>Beauty products</c:v>
                </c:pt>
                <c:pt idx="2">
                  <c:v>Home décor</c:v>
                </c:pt>
                <c:pt idx="3">
                  <c:v>Kitchen ware</c:v>
                </c:pt>
                <c:pt idx="4">
                  <c:v>Mobile Accessories</c:v>
                </c:pt>
                <c:pt idx="5">
                  <c:v>East Total</c:v>
                </c:pt>
                <c:pt idx="7">
                  <c:v>North</c:v>
                </c:pt>
                <c:pt idx="8">
                  <c:v>Baby products</c:v>
                </c:pt>
                <c:pt idx="9">
                  <c:v>Jewellery</c:v>
                </c:pt>
                <c:pt idx="10">
                  <c:v>Perfumes</c:v>
                </c:pt>
                <c:pt idx="11">
                  <c:v>Smart watch</c:v>
                </c:pt>
                <c:pt idx="12">
                  <c:v>Wrist Watch</c:v>
                </c:pt>
                <c:pt idx="13">
                  <c:v>North Total</c:v>
                </c:pt>
                <c:pt idx="15">
                  <c:v>South</c:v>
                </c:pt>
                <c:pt idx="16">
                  <c:v>Bass Headphones</c:v>
                </c:pt>
                <c:pt idx="17">
                  <c:v>Beauty products</c:v>
                </c:pt>
                <c:pt idx="18">
                  <c:v>Health &amp; wellness</c:v>
                </c:pt>
                <c:pt idx="19">
                  <c:v>Home décor</c:v>
                </c:pt>
                <c:pt idx="20">
                  <c:v>Pet supplies</c:v>
                </c:pt>
                <c:pt idx="21">
                  <c:v>South Total</c:v>
                </c:pt>
                <c:pt idx="23">
                  <c:v>West</c:v>
                </c:pt>
                <c:pt idx="24">
                  <c:v>Beverages</c:v>
                </c:pt>
                <c:pt idx="25">
                  <c:v>Books</c:v>
                </c:pt>
                <c:pt idx="26">
                  <c:v>Perfumes</c:v>
                </c:pt>
                <c:pt idx="27">
                  <c:v>Personal care</c:v>
                </c:pt>
                <c:pt idx="28">
                  <c:v>Smart watch</c:v>
                </c:pt>
                <c:pt idx="29">
                  <c:v>Wrist Watch</c:v>
                </c:pt>
                <c:pt idx="30">
                  <c:v>West Total</c:v>
                </c:pt>
                <c:pt idx="32">
                  <c:v>Grand Total</c:v>
                </c:pt>
              </c:strCache>
            </c:strRef>
          </c:cat>
          <c:val>
            <c:numRef>
              <c:f>'PIVOT TABLE'!$B$4:$B$36</c:f>
              <c:numCache>
                <c:formatCode>"₹"\ #,##0</c:formatCode>
                <c:ptCount val="33"/>
                <c:pt idx="1" formatCode="&quot;₹&quot; #,##0">
                  <c:v>45000</c:v>
                </c:pt>
                <c:pt idx="2" formatCode="&quot;₹&quot; #,##0">
                  <c:v>7000</c:v>
                </c:pt>
                <c:pt idx="3" formatCode="&quot;₹&quot; #,##0">
                  <c:v>8000</c:v>
                </c:pt>
                <c:pt idx="4" formatCode="&quot;₹&quot; #,##0">
                  <c:v>6000</c:v>
                </c:pt>
                <c:pt idx="5" formatCode="&quot;₹&quot; #,##0">
                  <c:v>66000</c:v>
                </c:pt>
                <c:pt idx="8" formatCode="&quot;₹&quot; #,##0">
                  <c:v>10000</c:v>
                </c:pt>
                <c:pt idx="9" formatCode="&quot;₹&quot; #,##0">
                  <c:v>15000</c:v>
                </c:pt>
                <c:pt idx="10" formatCode="&quot;₹&quot; #,##0">
                  <c:v>18000</c:v>
                </c:pt>
                <c:pt idx="11" formatCode="&quot;₹&quot; #,##0">
                  <c:v>50000</c:v>
                </c:pt>
                <c:pt idx="12" formatCode="&quot;₹&quot; #,##0">
                  <c:v>25000</c:v>
                </c:pt>
                <c:pt idx="13" formatCode="&quot;₹&quot; #,##0">
                  <c:v>118000</c:v>
                </c:pt>
                <c:pt idx="16" formatCode="&quot;₹&quot; #,##0">
                  <c:v>30000</c:v>
                </c:pt>
                <c:pt idx="17" formatCode="&quot;₹&quot; #,##0">
                  <c:v>5000</c:v>
                </c:pt>
                <c:pt idx="18" formatCode="&quot;₹&quot; #,##0">
                  <c:v>35000</c:v>
                </c:pt>
                <c:pt idx="19" formatCode="&quot;₹&quot; #,##0">
                  <c:v>10000</c:v>
                </c:pt>
                <c:pt idx="20" formatCode="&quot;₹&quot; #,##0">
                  <c:v>30000</c:v>
                </c:pt>
                <c:pt idx="21" formatCode="&quot;₹&quot; #,##0">
                  <c:v>110000</c:v>
                </c:pt>
                <c:pt idx="24" formatCode="&quot;₹&quot; #,##0">
                  <c:v>36000</c:v>
                </c:pt>
                <c:pt idx="25" formatCode="&quot;₹&quot; #,##0">
                  <c:v>40000</c:v>
                </c:pt>
                <c:pt idx="26" formatCode="&quot;₹&quot; #,##0">
                  <c:v>70000</c:v>
                </c:pt>
                <c:pt idx="27" formatCode="&quot;₹&quot; #,##0">
                  <c:v>25000</c:v>
                </c:pt>
                <c:pt idx="28" formatCode="&quot;₹&quot; #,##0">
                  <c:v>9000</c:v>
                </c:pt>
                <c:pt idx="29" formatCode="&quot;₹&quot; #,##0">
                  <c:v>80000</c:v>
                </c:pt>
                <c:pt idx="30" formatCode="&quot;₹&quot; #,##0">
                  <c:v>260000</c:v>
                </c:pt>
                <c:pt idx="32" formatCode="&quot;₹&quot; #,##0">
                  <c:v>554000</c:v>
                </c:pt>
              </c:numCache>
            </c:numRef>
          </c:val>
        </c:ser>
        <c:dLbls>
          <c:showLegendKey val="0"/>
          <c:showVal val="0"/>
          <c:showCatName val="0"/>
          <c:showSerName val="0"/>
          <c:showPercent val="0"/>
          <c:showBubbleSize val="0"/>
        </c:dLbls>
        <c:gapWidth val="100"/>
        <c:overlap val="-24"/>
        <c:axId val="1"/>
        <c:axId val="2"/>
      </c:barChart>
      <c:catAx>
        <c:axId val="1"/>
        <c:scaling>
          <c:orientation val="minMax"/>
        </c:scaling>
        <c:delete val="0"/>
        <c:axPos val="b"/>
        <c:majorTickMark val="none"/>
        <c:minorTickMark val="none"/>
        <c:tickLblPos val="nextTo"/>
        <c:spPr>
          <a:noFill/>
          <a:ln w="12700"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0"/>
      </c:catAx>
      <c:valAx>
        <c:axId val="2"/>
        <c:scaling>
          <c:orientation val="minMax"/>
        </c:scaling>
        <c:delete val="0"/>
        <c:axPos val="l"/>
        <c:majorGridlines>
          <c:spPr>
            <a:ln w="9525"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l="0.7" r="0.7" t="0.75" b="0.75" header="0.3" footer="0.3"/>
    <c:pageSetup/>
  </c:printSettings>
</c:chartSpace>
</file>

<file path=xl/charts/chart3.xml><?xml version="1.0" encoding="utf-8"?>
<c:chartSpace xmlns:c="http://schemas.openxmlformats.org/drawingml/2006/chart" xmlns:r="http://schemas.openxmlformats.org/officeDocument/2006/relationships" xmlns:a="http://schemas.openxmlformats.org/drawingml/2006/main">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DA EXCEL PRACTICE FILE BASIC.xlsx]CLEAN DATA ( IN CHART &amp; TABLE)!PivotTable3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PIVOT</a:t>
            </a:r>
            <a:r>
              <a:rPr lang="en-IN" baseline="0"/>
              <a:t> CHART EXAMPLE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w="9525">
              <a:solidFill>
                <a:schemeClr val="accent4"/>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w="9525">
              <a:solidFill>
                <a:schemeClr val="accent5"/>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'CLEAN DATA ( IN CHART &amp; TABLE)'!$J$2</c:f>
              <c:strCache>
                <c:ptCount val="1"/>
                <c:pt idx="0">
                  <c:v>Sum of 2012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'CLEAN DATA ( IN CHART &amp; TABLE)'!$I$3:$I$4</c:f>
              <c:strCache>
                <c:ptCount val="2"/>
                <c:pt idx="0">
                  <c:v>TAB.Antibiotics</c:v>
                </c:pt>
                <c:pt idx="1">
                  <c:v>Grand Total</c:v>
                </c:pt>
              </c:strCache>
            </c:strRef>
          </c:cat>
          <c:val>
            <c:numRef>
              <c:f>'CLEAN DATA ( IN CHART &amp; TABLE)'!$J$3:$J$4</c:f>
              <c:numCache>
                <c:formatCode>General</c:formatCode>
                <c:ptCount val="2"/>
                <c:pt idx="0">
                  <c:v>40000</c:v>
                </c:pt>
                <c:pt idx="1">
                  <c:v>40000</c:v>
                </c:pt>
              </c:numCache>
            </c:numRef>
          </c:val>
        </c:ser>
        <c:ser>
          <c:idx val="1"/>
          <c:order val="1"/>
          <c:tx>
            <c:strRef>
              <c:f>'CLEAN DATA ( IN CHART &amp; TABLE)'!$K$2</c:f>
              <c:strCache>
                <c:ptCount val="1"/>
                <c:pt idx="0">
                  <c:v>Sum of 2013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'CLEAN DATA ( IN CHART &amp; TABLE)'!$I$3:$I$4</c:f>
              <c:strCache>
                <c:ptCount val="2"/>
                <c:pt idx="0">
                  <c:v>TAB.Antibiotics</c:v>
                </c:pt>
                <c:pt idx="1">
                  <c:v>Grand Total</c:v>
                </c:pt>
              </c:strCache>
            </c:strRef>
          </c:cat>
          <c:val>
            <c:numRef>
              <c:f>'CLEAN DATA ( IN CHART &amp; TABLE)'!$K$3:$K$4</c:f>
              <c:numCache>
                <c:formatCode>General</c:formatCode>
                <c:ptCount val="2"/>
                <c:pt idx="0">
                  <c:v>50000</c:v>
                </c:pt>
                <c:pt idx="1">
                  <c:v>50000</c:v>
                </c:pt>
              </c:numCache>
            </c:numRef>
          </c:val>
        </c:ser>
        <c:ser>
          <c:idx val="2"/>
          <c:order val="2"/>
          <c:tx>
            <c:strRef>
              <c:f>'CLEAN DATA ( IN CHART &amp; TABLE)'!$L$2</c:f>
              <c:strCache>
                <c:ptCount val="1"/>
                <c:pt idx="0">
                  <c:v>Sum of 2014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'CLEAN DATA ( IN CHART &amp; TABLE)'!$I$3:$I$4</c:f>
              <c:strCache>
                <c:ptCount val="2"/>
                <c:pt idx="0">
                  <c:v>TAB.Antibiotics</c:v>
                </c:pt>
                <c:pt idx="1">
                  <c:v>Grand Total</c:v>
                </c:pt>
              </c:strCache>
            </c:strRef>
          </c:cat>
          <c:val>
            <c:numRef>
              <c:f>'CLEAN DATA ( IN CHART &amp; TABLE)'!$L$3:$L$4</c:f>
              <c:numCache>
                <c:formatCode>General</c:formatCode>
                <c:ptCount val="2"/>
                <c:pt idx="0">
                  <c:v>60000</c:v>
                </c:pt>
                <c:pt idx="1">
                  <c:v>60000</c:v>
                </c:pt>
              </c:numCache>
            </c:numRef>
          </c:val>
        </c:ser>
        <c:ser>
          <c:idx val="3"/>
          <c:order val="3"/>
          <c:tx>
            <c:strRef>
              <c:f>'CLEAN DATA ( IN CHART &amp; TABLE)'!$M$2</c:f>
              <c:strCache>
                <c:ptCount val="1"/>
                <c:pt idx="0">
                  <c:v>Sum of 2015</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'CLEAN DATA ( IN CHART &amp; TABLE)'!$I$3:$I$4</c:f>
              <c:strCache>
                <c:ptCount val="2"/>
                <c:pt idx="0">
                  <c:v>TAB.Antibiotics</c:v>
                </c:pt>
                <c:pt idx="1">
                  <c:v>Grand Total</c:v>
                </c:pt>
              </c:strCache>
            </c:strRef>
          </c:cat>
          <c:val>
            <c:numRef>
              <c:f>'CLEAN DATA ( IN CHART &amp; TABLE)'!$M$3:$M$4</c:f>
              <c:numCache>
                <c:formatCode>General</c:formatCode>
                <c:ptCount val="2"/>
                <c:pt idx="0">
                  <c:v>30000</c:v>
                </c:pt>
                <c:pt idx="1">
                  <c:v>30000</c:v>
                </c:pt>
              </c:numCache>
            </c:numRef>
          </c:val>
        </c:ser>
        <c:ser>
          <c:idx val="4"/>
          <c:order val="4"/>
          <c:tx>
            <c:strRef>
              <c:f>'CLEAN DATA ( IN CHART &amp; TABLE)'!$N$2</c:f>
              <c:strCache>
                <c:ptCount val="1"/>
                <c:pt idx="0">
                  <c:v>Sum of 2016</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'CLEAN DATA ( IN CHART &amp; TABLE)'!$I$3:$I$4</c:f>
              <c:strCache>
                <c:ptCount val="2"/>
                <c:pt idx="0">
                  <c:v>TAB.Antibiotics</c:v>
                </c:pt>
                <c:pt idx="1">
                  <c:v>Grand Total</c:v>
                </c:pt>
              </c:strCache>
            </c:strRef>
          </c:cat>
          <c:val>
            <c:numRef>
              <c:f>'CLEAN DATA ( IN CHART &amp; TABLE)'!$N$3:$N$4</c:f>
              <c:numCache>
                <c:formatCode>General</c:formatCode>
                <c:ptCount val="2"/>
                <c:pt idx="0">
                  <c:v>100000</c:v>
                </c:pt>
                <c:pt idx="1">
                  <c:v>100000</c:v>
                </c:pt>
              </c:numCache>
            </c:numRef>
          </c:val>
        </c:ser>
        <c:dLbls>
          <c:dLblPos val="outEnd"/>
          <c:showLegendKey val="0"/>
          <c:showVal val="1"/>
          <c:showCatName val="0"/>
          <c:showSerName val="0"/>
          <c:showPercent val="0"/>
          <c:showBubbleSize val="0"/>
        </c:dLbls>
        <c:gapWidth val="100"/>
        <c:overlap val="-24"/>
        <c:axId val="1"/>
        <c:axId val="2"/>
      </c:barChart>
      <c:catAx>
        <c:axId val="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MEDICINE</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w="12700"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0"/>
      </c:catAx>
      <c:valAx>
        <c:axId val="2"/>
        <c:scaling>
          <c:orientation val="minMax"/>
        </c:scaling>
        <c:delete val="0"/>
        <c:axPos val="l"/>
        <c:majorGridlines>
          <c:spPr>
            <a:ln w="9525"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PRICE</a:t>
                </a:r>
                <a:r>
                  <a:rPr lang="en-IN" baseline="0"/>
                  <a:t> </a:t>
                </a:r>
                <a:endParaRPr lang="en-IN"/>
              </a:p>
            </c:rich>
          </c:tx>
          <c:layout>
            <c:manualLayout>
              <c:xMode val="edge"/>
              <c:yMode val="edge"/>
              <c:x val="0.00874977372586727"/>
              <c:y val="0.422495275735855"/>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l="0.7" r="0.7" t="0.75" b="0.75" header="0.3" footer="0.3"/>
    <c:pageSetup/>
  </c:printSettings>
</c:chartSpace>
</file>

<file path=xl/charts/chart4.xml><?xml version="1.0" encoding="utf-8"?>
<c:chartSpace xmlns:c="http://schemas.openxmlformats.org/drawingml/2006/chart" xmlns:r="http://schemas.openxmlformats.org/officeDocument/2006/relationships" xmlns:a="http://schemas.openxmlformats.org/drawingml/2006/main">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DA EXCEL PRACTICE FILE BASIC.xlsx]CLEAN DATA ( IN CHART &amp; TABLE)!PivotTable3</c:name>
    <c:fmtId val="17"/>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layout/>
          <c:dLblPos val="inEnd"/>
          <c:showLegendKey val="0"/>
          <c:showVal val="0"/>
          <c:showCatName val="1"/>
          <c:showSerName val="0"/>
          <c:showPercent val="1"/>
          <c:showBubbleSize val="0"/>
        </c:dLbl>
      </c:pivotFmt>
      <c:pivotFmt>
        <c:idx val="1"/>
        <c:dLbl>
          <c:idx val="0"/>
          <c:layout/>
          <c:dLblPos val="inEnd"/>
          <c:showLegendKey val="0"/>
          <c:showVal val="0"/>
          <c:showCatName val="1"/>
          <c:showSerName val="0"/>
          <c:showPercent val="1"/>
          <c:showBubbleSize val="0"/>
        </c:dLbl>
      </c:pivotFmt>
      <c:pivotFmt>
        <c:idx val="2"/>
        <c:dLbl>
          <c:idx val="0"/>
          <c:layout/>
          <c:dLblPos val="inEnd"/>
          <c:showLegendKey val="0"/>
          <c:showVal val="0"/>
          <c:showCatName val="1"/>
          <c:showSerName val="0"/>
          <c:showPercent val="1"/>
          <c:showBubbleSize val="0"/>
        </c:dLbl>
      </c:pivotFmt>
      <c:pivotFmt>
        <c:idx val="3"/>
        <c:dLbl>
          <c:idx val="0"/>
          <c:layout/>
          <c:dLblPos val="inEnd"/>
          <c:showLegendKey val="0"/>
          <c:showVal val="0"/>
          <c:showCatName val="1"/>
          <c:showSerName val="0"/>
          <c:showPercent val="1"/>
          <c:showBubbleSize val="0"/>
        </c:dLbl>
      </c:pivotFmt>
      <c:pivotFmt>
        <c:idx val="4"/>
        <c:dLbl>
          <c:idx val="0"/>
          <c:layout/>
          <c:dLblPos val="inEnd"/>
          <c:showLegendKey val="0"/>
          <c:showVal val="0"/>
          <c:showCatName val="1"/>
          <c:showSerName val="0"/>
          <c:showPercent val="1"/>
          <c:showBubbleSize val="0"/>
        </c:dLbl>
      </c:pivotFmt>
      <c:pivotFmt>
        <c:idx val="5"/>
        <c:dLbl>
          <c:idx val="0"/>
          <c:layout/>
          <c:dLblPos val="inEnd"/>
          <c:showLegendKey val="0"/>
          <c:showVal val="0"/>
          <c:showCatName val="1"/>
          <c:showSerName val="0"/>
          <c:showPercent val="1"/>
          <c:showBubbleSize val="0"/>
        </c:dLbl>
      </c:pivotFmt>
      <c:pivotFmt>
        <c:idx val="6"/>
        <c:dLbl>
          <c:idx val="0"/>
          <c:layout/>
          <c:dLblPos val="inEnd"/>
          <c:showLegendKey val="0"/>
          <c:showVal val="0"/>
          <c:showCatName val="1"/>
          <c:showSerName val="0"/>
          <c:showPercent val="1"/>
          <c:showBubbleSize val="0"/>
        </c:dLbl>
      </c:pivotFmt>
      <c:pivotFmt>
        <c:idx val="7"/>
        <c:dLbl>
          <c:idx val="0"/>
          <c:layout/>
          <c:dLblPos val="inEnd"/>
          <c:showLegendKey val="0"/>
          <c:showVal val="0"/>
          <c:showCatName val="1"/>
          <c:showSerName val="0"/>
          <c:showPercent val="1"/>
          <c:showBubbleSize val="0"/>
        </c:dLbl>
      </c:pivotFmt>
      <c:pivotFmt>
        <c:idx val="8"/>
        <c:dLbl>
          <c:idx val="0"/>
          <c:layout/>
          <c:dLblPos val="inEnd"/>
          <c:showLegendKey val="0"/>
          <c:showVal val="0"/>
          <c:showCatName val="1"/>
          <c:showSerName val="0"/>
          <c:showPercent val="1"/>
          <c:showBubbleSize val="0"/>
        </c:dLbl>
      </c:pivotFmt>
      <c:pivotFmt>
        <c:idx val="9"/>
        <c:dLbl>
          <c:idx val="0"/>
          <c:layout/>
          <c:dLblPos val="inEnd"/>
          <c:showLegendKey val="0"/>
          <c:showVal val="0"/>
          <c:showCatName val="1"/>
          <c:showSerName val="0"/>
          <c:showPercent val="1"/>
          <c:showBubbleSize val="0"/>
        </c:dLbl>
      </c:pivotFmt>
      <c:pivotFmt>
        <c:idx val="10"/>
        <c:dLbl>
          <c:idx val="0"/>
          <c:layout/>
          <c:dLblPos val="inEnd"/>
          <c:showLegendKey val="0"/>
          <c:showVal val="0"/>
          <c:showCatName val="1"/>
          <c:showSerName val="0"/>
          <c:showPercent val="1"/>
          <c:showBubbleSize val="0"/>
        </c:dLbl>
      </c:pivotFmt>
      <c:pivotFmt>
        <c:idx val="11"/>
        <c:dLbl>
          <c:idx val="0"/>
          <c:layout/>
          <c:dLblPos val="inEnd"/>
          <c:showLegendKey val="0"/>
          <c:showVal val="0"/>
          <c:showCatName val="1"/>
          <c:showSerName val="0"/>
          <c:showPercent val="1"/>
          <c:showBubbleSize val="0"/>
        </c:dLbl>
      </c:pivotFmt>
      <c:pivotFmt>
        <c:idx val="12"/>
        <c:dLbl>
          <c:idx val="0"/>
          <c:layout/>
          <c:dLblPos val="inEnd"/>
          <c:showLegendKey val="0"/>
          <c:showVal val="0"/>
          <c:showCatName val="1"/>
          <c:showSerName val="0"/>
          <c:showPercent val="1"/>
          <c:showBubbleSize val="0"/>
        </c:dLbl>
      </c:pivotFmt>
      <c:pivotFmt>
        <c:idx val="13"/>
        <c:dLbl>
          <c:idx val="0"/>
          <c:layout/>
          <c:dLblPos val="inEnd"/>
          <c:showLegendKey val="0"/>
          <c:showVal val="0"/>
          <c:showCatName val="1"/>
          <c:showSerName val="0"/>
          <c:showPercent val="1"/>
          <c:showBubbleSize val="0"/>
        </c:dLbl>
      </c:pivotFmt>
      <c:pivotFmt>
        <c:idx val="14"/>
        <c:dLbl>
          <c:idx val="0"/>
          <c:layout/>
          <c:dLblPos val="inEnd"/>
          <c:showLegendKey val="0"/>
          <c:showVal val="0"/>
          <c:showCatName val="1"/>
          <c:showSerName val="0"/>
          <c:showPercent val="1"/>
          <c:showBubbleSize val="0"/>
        </c:dLbl>
      </c:pivotFmt>
      <c:pivotFmt>
        <c:idx val="15"/>
        <c:dLbl>
          <c:idx val="0"/>
          <c:layout/>
          <c:dLblPos val="inEnd"/>
          <c:showLegendKey val="0"/>
          <c:showVal val="0"/>
          <c:showCatName val="1"/>
          <c:showSerName val="0"/>
          <c:showPercent val="1"/>
          <c:showBubbleSize val="0"/>
        </c:dLbl>
      </c:pivotFmt>
      <c:pivotFmt>
        <c:idx val="16"/>
        <c:dLbl>
          <c:idx val="0"/>
          <c:layout/>
          <c:dLblPos val="inEnd"/>
          <c:showLegendKey val="0"/>
          <c:showVal val="0"/>
          <c:showCatName val="1"/>
          <c:showSerName val="0"/>
          <c:showPercent val="1"/>
          <c:showBubbleSize val="0"/>
        </c:dLbl>
      </c:pivotFmt>
      <c:pivotFmt>
        <c:idx val="17"/>
        <c:dLbl>
          <c:idx val="0"/>
          <c:layout/>
          <c:dLblPos val="inEnd"/>
          <c:showLegendKey val="0"/>
          <c:showVal val="0"/>
          <c:showCatName val="1"/>
          <c:showSerName val="0"/>
          <c:showPercent val="1"/>
          <c:showBubbleSize val="0"/>
        </c:dLbl>
      </c:pivotFmt>
      <c:pivotFmt>
        <c:idx val="18"/>
        <c:dLbl>
          <c:idx val="0"/>
          <c:layout/>
          <c:dLblPos val="inEnd"/>
          <c:showLegendKey val="0"/>
          <c:showVal val="0"/>
          <c:showCatName val="1"/>
          <c:showSerName val="0"/>
          <c:showPercent val="1"/>
          <c:showBubbleSize val="0"/>
        </c:dLbl>
      </c:pivotFmt>
      <c:pivotFmt>
        <c:idx val="19"/>
        <c:dLbl>
          <c:idx val="0"/>
          <c:layout/>
          <c:dLblPos val="inEnd"/>
          <c:showLegendKey val="0"/>
          <c:showVal val="0"/>
          <c:showCatName val="1"/>
          <c:showSerName val="0"/>
          <c:showPercent val="1"/>
          <c:showBubbleSize val="0"/>
        </c:dLbl>
      </c:pivotFmt>
      <c:pivotFmt>
        <c:idx val="20"/>
        <c:dLbl>
          <c:idx val="0"/>
          <c:layout/>
          <c:dLblPos val="inEnd"/>
          <c:showLegendKey val="0"/>
          <c:showVal val="0"/>
          <c:showCatName val="1"/>
          <c:showSerName val="0"/>
          <c:showPercent val="1"/>
          <c:showBubbleSize val="0"/>
        </c:dLbl>
      </c:pivotFmt>
      <c:pivotFmt>
        <c:idx val="21"/>
        <c:dLbl>
          <c:idx val="0"/>
          <c:layout/>
          <c:dLblPos val="inEnd"/>
          <c:showLegendKey val="0"/>
          <c:showVal val="0"/>
          <c:showCatName val="1"/>
          <c:showSerName val="0"/>
          <c:showPercent val="1"/>
          <c:showBubbleSize val="0"/>
        </c:dLbl>
      </c:pivotFmt>
      <c:pivotFmt>
        <c:idx val="22"/>
        <c:dLbl>
          <c:idx val="0"/>
          <c:layout/>
          <c:dLblPos val="inEnd"/>
          <c:showLegendKey val="0"/>
          <c:showVal val="0"/>
          <c:showCatName val="1"/>
          <c:showSerName val="0"/>
          <c:showPercent val="1"/>
          <c:showBubbleSize val="0"/>
        </c:dLbl>
      </c:pivotFmt>
      <c:pivotFmt>
        <c:idx val="23"/>
        <c:dLbl>
          <c:idx val="0"/>
          <c:layout/>
          <c:dLblPos val="inEnd"/>
          <c:showLegendKey val="0"/>
          <c:showVal val="0"/>
          <c:showCatName val="1"/>
          <c:showSerName val="0"/>
          <c:showPercent val="1"/>
          <c:showBubbleSize val="0"/>
        </c:dLbl>
      </c:pivotFmt>
      <c:pivotFmt>
        <c:idx val="24"/>
        <c:dLbl>
          <c:idx val="0"/>
          <c:layout/>
          <c:dLblPos val="inEnd"/>
          <c:showLegendKey val="0"/>
          <c:showVal val="0"/>
          <c:showCatName val="1"/>
          <c:showSerName val="0"/>
          <c:showPercent val="1"/>
          <c:showBubbleSize val="0"/>
        </c:dLbl>
      </c:pivotFmt>
      <c:pivotFmt>
        <c:idx val="25"/>
        <c:dLbl>
          <c:idx val="0"/>
          <c:layout/>
          <c:dLblPos val="inEnd"/>
          <c:showLegendKey val="0"/>
          <c:showVal val="0"/>
          <c:showCatName val="1"/>
          <c:showSerName val="0"/>
          <c:showPercent val="1"/>
          <c:showBubbleSize val="0"/>
        </c:dLbl>
      </c:pivotFmt>
      <c:pivotFmt>
        <c:idx val="26"/>
        <c:dLbl>
          <c:idx val="0"/>
          <c:layout/>
          <c:dLblPos val="inEnd"/>
          <c:showLegendKey val="0"/>
          <c:showVal val="0"/>
          <c:showCatName val="1"/>
          <c:showSerName val="0"/>
          <c:showPercent val="1"/>
          <c:showBubbleSize val="0"/>
        </c:dLbl>
      </c:pivotFmt>
      <c:pivotFmt>
        <c:idx val="27"/>
        <c:dLbl>
          <c:idx val="0"/>
          <c:layout/>
          <c:dLblPos val="inEnd"/>
          <c:showLegendKey val="0"/>
          <c:showVal val="0"/>
          <c:showCatName val="1"/>
          <c:showSerName val="0"/>
          <c:showPercent val="1"/>
          <c:showBubbleSize val="0"/>
        </c:dLbl>
      </c:pivotFmt>
      <c:pivotFmt>
        <c:idx val="28"/>
        <c:dLbl>
          <c:idx val="0"/>
          <c:layout/>
          <c:dLblPos val="inEnd"/>
          <c:showLegendKey val="0"/>
          <c:showVal val="0"/>
          <c:showCatName val="1"/>
          <c:showSerName val="0"/>
          <c:showPercent val="1"/>
          <c:showBubbleSize val="0"/>
        </c:dLbl>
      </c:pivotFmt>
      <c:pivotFmt>
        <c:idx val="29"/>
        <c:dLbl>
          <c:idx val="0"/>
          <c:layout/>
          <c:dLblPos val="inEnd"/>
          <c:showLegendKey val="0"/>
          <c:showVal val="0"/>
          <c:showCatName val="1"/>
          <c:showSerName val="0"/>
          <c:showPercent val="1"/>
          <c:showBubbleSize val="0"/>
        </c:dLbl>
      </c:pivotFmt>
      <c:pivotFmt>
        <c:idx val="30"/>
        <c:dLbl>
          <c:idx val="0"/>
          <c:layout/>
          <c:dLblPos val="inEnd"/>
          <c:showLegendKey val="0"/>
          <c:showVal val="0"/>
          <c:showCatName val="1"/>
          <c:showSerName val="0"/>
          <c:showPercent val="1"/>
          <c:showBubbleSize val="0"/>
        </c:dLbl>
      </c:pivotFmt>
      <c:pivotFmt>
        <c:idx val="31"/>
        <c:dLbl>
          <c:idx val="0"/>
          <c:layout/>
          <c:dLblPos val="inEnd"/>
          <c:showLegendKey val="0"/>
          <c:showVal val="0"/>
          <c:showCatName val="1"/>
          <c:showSerName val="0"/>
          <c:showPercent val="1"/>
          <c:showBubbleSize val="0"/>
        </c:dLbl>
      </c:pivotFmt>
      <c:pivotFmt>
        <c:idx val="32"/>
        <c:dLbl>
          <c:idx val="0"/>
          <c:layout/>
          <c:dLblPos val="inEnd"/>
          <c:showLegendKey val="0"/>
          <c:showVal val="0"/>
          <c:showCatName val="1"/>
          <c:showSerName val="0"/>
          <c:showPercent val="1"/>
          <c:showBubbleSize val="0"/>
        </c:dLbl>
      </c:pivotFmt>
      <c:pivotFmt>
        <c:idx val="33"/>
        <c:dLbl>
          <c:idx val="0"/>
          <c:layout/>
          <c:dLblPos val="inEnd"/>
          <c:showLegendKey val="0"/>
          <c:showVal val="0"/>
          <c:showCatName val="1"/>
          <c:showSerName val="0"/>
          <c:showPercent val="1"/>
          <c:showBubbleSize val="0"/>
        </c:dLbl>
      </c:pivotFmt>
      <c:pivotFmt>
        <c:idx val="34"/>
        <c:dLbl>
          <c:idx val="0"/>
          <c:layout/>
          <c:dLblPos val="inEnd"/>
          <c:showLegendKey val="0"/>
          <c:showVal val="0"/>
          <c:showCatName val="1"/>
          <c:showSerName val="0"/>
          <c:showPercent val="1"/>
          <c:showBubbleSize val="0"/>
        </c:dLbl>
      </c:pivotFmt>
      <c:pivotFmt>
        <c:idx val="35"/>
        <c:dLbl>
          <c:idx val="0"/>
          <c:layout/>
          <c:dLblPos val="inEnd"/>
          <c:showLegendKey val="0"/>
          <c:showVal val="0"/>
          <c:showCatName val="1"/>
          <c:showSerName val="0"/>
          <c:showPercent val="1"/>
          <c:showBubbleSize val="0"/>
        </c:dLbl>
      </c:pivotFmt>
      <c:pivotFmt>
        <c:idx val="36"/>
        <c:dLbl>
          <c:idx val="0"/>
          <c:layout/>
          <c:dLblPos val="inEnd"/>
          <c:showLegendKey val="0"/>
          <c:showVal val="0"/>
          <c:showCatName val="1"/>
          <c:showSerName val="0"/>
          <c:showPercent val="1"/>
          <c:showBubbleSize val="0"/>
        </c:dLbl>
      </c:pivotFmt>
      <c:pivotFmt>
        <c:idx val="37"/>
        <c:dLbl>
          <c:idx val="0"/>
          <c:layout/>
          <c:dLblPos val="inEnd"/>
          <c:showLegendKey val="0"/>
          <c:showVal val="0"/>
          <c:showCatName val="1"/>
          <c:showSerName val="0"/>
          <c:showPercent val="1"/>
          <c:showBubbleSize val="0"/>
        </c:dLbl>
      </c:pivotFmt>
      <c:pivotFmt>
        <c:idx val="38"/>
        <c:dLbl>
          <c:idx val="0"/>
          <c:layout/>
          <c:dLblPos val="inEnd"/>
          <c:showLegendKey val="0"/>
          <c:showVal val="0"/>
          <c:showCatName val="1"/>
          <c:showSerName val="0"/>
          <c:showPercent val="1"/>
          <c:showBubbleSize val="0"/>
        </c:dLbl>
      </c:pivotFmt>
      <c:pivotFmt>
        <c:idx val="39"/>
        <c:dLbl>
          <c:idx val="0"/>
          <c:layout/>
          <c:dLblPos val="inEnd"/>
          <c:showLegendKey val="0"/>
          <c:showVal val="0"/>
          <c:showCatName val="1"/>
          <c:showSerName val="0"/>
          <c:showPercent val="1"/>
          <c:showBubbleSize val="0"/>
        </c:dLbl>
      </c:pivotFmt>
      <c:pivotFmt>
        <c:idx val="40"/>
        <c:dLbl>
          <c:idx val="0"/>
          <c:layout/>
          <c:dLblPos val="inEnd"/>
          <c:showLegendKey val="0"/>
          <c:showVal val="0"/>
          <c:showCatName val="1"/>
          <c:showSerName val="0"/>
          <c:showPercent val="1"/>
          <c:showBubbleSize val="0"/>
        </c:dLbl>
      </c:pivotFmt>
      <c:pivotFmt>
        <c:idx val="41"/>
        <c:dLbl>
          <c:idx val="0"/>
          <c:layout/>
          <c:dLblPos val="inEnd"/>
          <c:showLegendKey val="0"/>
          <c:showVal val="0"/>
          <c:showCatName val="1"/>
          <c:showSerName val="0"/>
          <c:showPercent val="1"/>
          <c:showBubbleSize val="0"/>
        </c:dLbl>
      </c:pivotFmt>
      <c:pivotFmt>
        <c:idx val="42"/>
        <c:dLbl>
          <c:idx val="0"/>
          <c:layout/>
          <c:dLblPos val="inEnd"/>
          <c:showLegendKey val="0"/>
          <c:showVal val="0"/>
          <c:showCatName val="1"/>
          <c:showSerName val="0"/>
          <c:showPercent val="1"/>
          <c:showBubbleSize val="0"/>
        </c:dLbl>
      </c:pivotFmt>
      <c:pivotFmt>
        <c:idx val="43"/>
        <c:dLbl>
          <c:idx val="0"/>
          <c:layout/>
          <c:dLblPos val="inEnd"/>
          <c:showLegendKey val="0"/>
          <c:showVal val="0"/>
          <c:showCatName val="1"/>
          <c:showSerName val="0"/>
          <c:showPercent val="1"/>
          <c:showBubbleSize val="0"/>
        </c:dLbl>
      </c:pivotFmt>
      <c:pivotFmt>
        <c:idx val="44"/>
        <c:dLbl>
          <c:idx val="0"/>
          <c:layout/>
          <c:dLblPos val="inEnd"/>
          <c:showLegendKey val="0"/>
          <c:showVal val="0"/>
          <c:showCatName val="1"/>
          <c:showSerName val="0"/>
          <c:showPercent val="1"/>
          <c:showBubbleSize val="0"/>
        </c:dLbl>
      </c:pivotFmt>
      <c:pivotFmt>
        <c:idx val="45"/>
        <c:dLbl>
          <c:idx val="0"/>
          <c:layout/>
          <c:dLblPos val="inEnd"/>
          <c:showLegendKey val="0"/>
          <c:showVal val="0"/>
          <c:showCatName val="1"/>
          <c:showSerName val="0"/>
          <c:showPercent val="1"/>
          <c:showBubbleSize val="0"/>
        </c:dLbl>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dLbl>
          <c:idx val="0"/>
          <c:layout/>
          <c:dLblPos val="inEnd"/>
          <c:showLegendKey val="0"/>
          <c:showVal val="0"/>
          <c:showCatName val="1"/>
          <c:showSerName val="0"/>
          <c:showPercent val="1"/>
          <c:showBubbleSize val="0"/>
        </c:dLbl>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layout/>
          <c:dLblPos val="inEnd"/>
          <c:showLegendKey val="0"/>
          <c:showVal val="0"/>
          <c:showCatName val="1"/>
          <c:showSerName val="0"/>
          <c:showPercent val="1"/>
          <c:showBubbleSize val="0"/>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dLbl>
          <c:idx val="0"/>
          <c:layout/>
          <c:dLblPos val="inEnd"/>
          <c:showLegendKey val="0"/>
          <c:showVal val="0"/>
          <c:showCatName val="1"/>
          <c:showSerName val="0"/>
          <c:showPercent val="1"/>
          <c:showBubbleSize val="0"/>
        </c:dLbl>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dLbl>
          <c:idx val="0"/>
          <c:layout/>
          <c:dLblPos val="inEnd"/>
          <c:showLegendKey val="0"/>
          <c:showVal val="0"/>
          <c:showCatName val="1"/>
          <c:showSerName val="0"/>
          <c:showPercent val="1"/>
          <c:showBubbleSize val="0"/>
        </c:dLbl>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dLbl>
      </c:pivotFmt>
      <c:pivotFmt>
        <c:idx val="91"/>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93"/>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95"/>
      </c:pivotFmt>
      <c:pivotFmt>
        <c:idx val="96"/>
      </c:pivotFmt>
      <c:pivotFmt>
        <c:idx val="97"/>
      </c:pivotFmt>
      <c:pivotFmt>
        <c:idx val="98"/>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dLbl>
      </c:pivotFmt>
      <c:pivotFmt>
        <c:idx val="100"/>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102"/>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104"/>
      </c:pivotFmt>
      <c:pivotFmt>
        <c:idx val="105"/>
      </c:pivotFmt>
      <c:pivotFmt>
        <c:idx val="106"/>
      </c:pivotFmt>
      <c:pivotFmt>
        <c:idx val="107"/>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dLbl>
      </c:pivotFmt>
      <c:pivotFmt>
        <c:idx val="109"/>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111"/>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113"/>
      </c:pivotFmt>
      <c:pivotFmt>
        <c:idx val="114"/>
      </c:pivotFmt>
      <c:pivotFmt>
        <c:idx val="115"/>
      </c:pivotFmt>
      <c:pivotFmt>
        <c:idx val="116"/>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dLbl>
      </c:pivotFmt>
      <c:pivotFmt>
        <c:idx val="118"/>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120"/>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122"/>
      </c:pivotFmt>
      <c:pivotFmt>
        <c:idx val="123"/>
      </c:pivotFmt>
      <c:pivotFmt>
        <c:idx val="124"/>
      </c:pivotFmt>
      <c:pivotFmt>
        <c:idx val="125"/>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dLbl>
      </c:pivotFmt>
      <c:pivotFmt>
        <c:idx val="127"/>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129"/>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pivotFmt>
      <c:pivotFmt>
        <c:idx val="131"/>
      </c:pivotFmt>
      <c:pivotFmt>
        <c:idx val="132"/>
      </c:pivotFmt>
      <c:pivotFmt>
        <c:idx val="133"/>
      </c:pivotFmt>
      <c:pivotFmt>
        <c:idx val="134"/>
      </c:pivotFmt>
    </c:pivotFmts>
    <c:view3D>
      <c:rotX val="3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'CLEAN DATA ( IN CHART &amp; TABLE)'!$J$2</c:f>
              <c:strCache>
                <c:ptCount val="1"/>
                <c:pt idx="0">
                  <c:v>Sum of 2012</c:v>
                </c:pt>
              </c:strCache>
            </c:strRef>
          </c:tx>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leaderLines>
              <c:spPr>
                <a:ln w="9525">
                  <a:solidFill>
                    <a:schemeClr val="lt1">
                      <a:lumMod val="95000"/>
                      <a:alpha val="54000"/>
                    </a:schemeClr>
                  </a:solidFill>
                </a:ln>
                <a:effectLst/>
              </c:spPr>
            </c:leaderLines>
          </c:dLbls>
          <c:cat>
            <c:strRef>
              <c:f>'CLEAN DATA ( IN CHART &amp; TABLE)'!$I$3:$I$4</c:f>
              <c:strCache>
                <c:ptCount val="2"/>
                <c:pt idx="0">
                  <c:v>TAB.Antibiotics</c:v>
                </c:pt>
                <c:pt idx="1">
                  <c:v>Grand Total</c:v>
                </c:pt>
              </c:strCache>
            </c:strRef>
          </c:cat>
          <c:val>
            <c:numRef>
              <c:f>'CLEAN DATA ( IN CHART &amp; TABLE)'!$J$3:$J$4</c:f>
              <c:numCache>
                <c:formatCode>General</c:formatCode>
                <c:ptCount val="2"/>
                <c:pt idx="0">
                  <c:v>40000</c:v>
                </c:pt>
                <c:pt idx="1">
                  <c:v>40000</c:v>
                </c:pt>
              </c:numCache>
            </c:numRef>
          </c:val>
        </c:ser>
        <c:ser>
          <c:idx val="1"/>
          <c:order val="1"/>
          <c:tx>
            <c:strRef>
              <c:f>'CLEAN DATA ( IN CHART &amp; TABLE)'!$K$2</c:f>
              <c:strCache>
                <c:ptCount val="1"/>
                <c:pt idx="0">
                  <c:v>Sum of 2013</c:v>
                </c:pt>
              </c:strCache>
            </c:strRef>
          </c:tx>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leaderLines>
              <c:spPr>
                <a:ln w="9525">
                  <a:solidFill>
                    <a:schemeClr val="lt1">
                      <a:lumMod val="95000"/>
                      <a:alpha val="54000"/>
                    </a:schemeClr>
                  </a:solidFill>
                </a:ln>
                <a:effectLst/>
              </c:spPr>
            </c:leaderLines>
          </c:dLbls>
          <c:cat>
            <c:strRef>
              <c:f>'CLEAN DATA ( IN CHART &amp; TABLE)'!$I$3:$I$4</c:f>
              <c:strCache>
                <c:ptCount val="2"/>
                <c:pt idx="0">
                  <c:v>TAB.Antibiotics</c:v>
                </c:pt>
                <c:pt idx="1">
                  <c:v>Grand Total</c:v>
                </c:pt>
              </c:strCache>
            </c:strRef>
          </c:cat>
          <c:val>
            <c:numRef>
              <c:f>'CLEAN DATA ( IN CHART &amp; TABLE)'!$K$3:$K$4</c:f>
              <c:numCache>
                <c:formatCode>General</c:formatCode>
                <c:ptCount val="2"/>
                <c:pt idx="0">
                  <c:v>50000</c:v>
                </c:pt>
                <c:pt idx="1">
                  <c:v>50000</c:v>
                </c:pt>
              </c:numCache>
            </c:numRef>
          </c:val>
        </c:ser>
        <c:ser>
          <c:idx val="2"/>
          <c:order val="2"/>
          <c:tx>
            <c:strRef>
              <c:f>'CLEAN DATA ( IN CHART &amp; TABLE)'!$L$2</c:f>
              <c:strCache>
                <c:ptCount val="1"/>
                <c:pt idx="0">
                  <c:v>Sum of 2014</c:v>
                </c:pt>
              </c:strCache>
            </c:strRef>
          </c:tx>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leaderLines>
              <c:spPr>
                <a:ln w="9525">
                  <a:solidFill>
                    <a:schemeClr val="lt1">
                      <a:lumMod val="95000"/>
                      <a:alpha val="54000"/>
                    </a:schemeClr>
                  </a:solidFill>
                </a:ln>
                <a:effectLst/>
              </c:spPr>
            </c:leaderLines>
          </c:dLbls>
          <c:cat>
            <c:strRef>
              <c:f>'CLEAN DATA ( IN CHART &amp; TABLE)'!$I$3:$I$4</c:f>
              <c:strCache>
                <c:ptCount val="2"/>
                <c:pt idx="0">
                  <c:v>TAB.Antibiotics</c:v>
                </c:pt>
                <c:pt idx="1">
                  <c:v>Grand Total</c:v>
                </c:pt>
              </c:strCache>
            </c:strRef>
          </c:cat>
          <c:val>
            <c:numRef>
              <c:f>'CLEAN DATA ( IN CHART &amp; TABLE)'!$L$3:$L$4</c:f>
              <c:numCache>
                <c:formatCode>General</c:formatCode>
                <c:ptCount val="2"/>
                <c:pt idx="0">
                  <c:v>60000</c:v>
                </c:pt>
                <c:pt idx="1">
                  <c:v>60000</c:v>
                </c:pt>
              </c:numCache>
            </c:numRef>
          </c:val>
        </c:ser>
        <c:ser>
          <c:idx val="3"/>
          <c:order val="3"/>
          <c:tx>
            <c:strRef>
              <c:f>'CLEAN DATA ( IN CHART &amp; TABLE)'!$M$2</c:f>
              <c:strCache>
                <c:ptCount val="1"/>
                <c:pt idx="0">
                  <c:v>Sum of 2015</c:v>
                </c:pt>
              </c:strCache>
            </c:strRef>
          </c:tx>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leaderLines>
              <c:spPr>
                <a:ln w="9525">
                  <a:solidFill>
                    <a:schemeClr val="lt1">
                      <a:lumMod val="95000"/>
                      <a:alpha val="54000"/>
                    </a:schemeClr>
                  </a:solidFill>
                </a:ln>
                <a:effectLst/>
              </c:spPr>
            </c:leaderLines>
          </c:dLbls>
          <c:cat>
            <c:strRef>
              <c:f>'CLEAN DATA ( IN CHART &amp; TABLE)'!$I$3:$I$4</c:f>
              <c:strCache>
                <c:ptCount val="2"/>
                <c:pt idx="0">
                  <c:v>TAB.Antibiotics</c:v>
                </c:pt>
                <c:pt idx="1">
                  <c:v>Grand Total</c:v>
                </c:pt>
              </c:strCache>
            </c:strRef>
          </c:cat>
          <c:val>
            <c:numRef>
              <c:f>'CLEAN DATA ( IN CHART &amp; TABLE)'!$M$3:$M$4</c:f>
              <c:numCache>
                <c:formatCode>General</c:formatCode>
                <c:ptCount val="2"/>
                <c:pt idx="0">
                  <c:v>30000</c:v>
                </c:pt>
                <c:pt idx="1">
                  <c:v>30000</c:v>
                </c:pt>
              </c:numCache>
            </c:numRef>
          </c:val>
        </c:ser>
        <c:ser>
          <c:idx val="4"/>
          <c:order val="4"/>
          <c:tx>
            <c:strRef>
              <c:f>'CLEAN DATA ( IN CHART &amp; TABLE)'!$N$2</c:f>
              <c:strCache>
                <c:ptCount val="1"/>
                <c:pt idx="0">
                  <c:v>Sum of 2016</c:v>
                </c:pt>
              </c:strCache>
            </c:strRef>
          </c:tx>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leaderLines>
              <c:spPr>
                <a:ln w="9525">
                  <a:solidFill>
                    <a:schemeClr val="lt1">
                      <a:lumMod val="95000"/>
                      <a:alpha val="54000"/>
                    </a:schemeClr>
                  </a:solidFill>
                </a:ln>
                <a:effectLst/>
              </c:spPr>
            </c:leaderLines>
          </c:dLbls>
          <c:cat>
            <c:strRef>
              <c:f>'CLEAN DATA ( IN CHART &amp; TABLE)'!$I$3:$I$4</c:f>
              <c:strCache>
                <c:ptCount val="2"/>
                <c:pt idx="0">
                  <c:v>TAB.Antibiotics</c:v>
                </c:pt>
                <c:pt idx="1">
                  <c:v>Grand Total</c:v>
                </c:pt>
              </c:strCache>
            </c:strRef>
          </c:cat>
          <c:val>
            <c:numRef>
              <c:f>'CLEAN DATA ( IN CHART &amp; TABLE)'!$N$3:$N$4</c:f>
              <c:numCache>
                <c:formatCode>General</c:formatCode>
                <c:ptCount val="2"/>
                <c:pt idx="0">
                  <c:v>100000</c:v>
                </c:pt>
                <c:pt idx="1">
                  <c:v>100000</c:v>
                </c:pt>
              </c:numCache>
            </c:numRef>
          </c:val>
        </c:ser>
        <c:dLbls>
          <c:dLblPos val="inEnd"/>
          <c:showLegendKey val="0"/>
          <c:showVal val="0"/>
          <c:showCatName val="0"/>
          <c:showSerName val="0"/>
          <c:showPercent val="1"/>
          <c:showBubbleSize val="0"/>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l="0.7" r="0.7" t="0.75" b="0.75" header="0.3" footer="0.3"/>
    <c:pageSetup/>
  </c:printSettings>
</c:chartSpace>
</file>

<file path=xl/charts/chart5.xml><?xml version="1.0" encoding="utf-8"?>
<c:chartSpace xmlns:c="http://schemas.openxmlformats.org/drawingml/2006/chart" xmlns:r="http://schemas.openxmlformats.org/officeDocument/2006/relationships" xmlns:a="http://schemas.openxmlformats.org/drawingml/2006/main">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 DA EXCEL PRACTICE FILE BASIC.xlsx]CLEAN DATA ( IN CHART &amp; TABLE)!PivotTable3</c:name>
    <c:fmtId val="1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w="9525">
              <a:solidFill>
                <a:schemeClr val="accent4"/>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w="9525">
              <a:solidFill>
                <a:schemeClr val="accent5"/>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w="9525">
              <a:solidFill>
                <a:schemeClr val="accent4"/>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w="9525">
              <a:solidFill>
                <a:schemeClr val="accent5"/>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w="9525">
              <a:solidFill>
                <a:schemeClr val="accent4"/>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w="9525">
              <a:solidFill>
                <a:schemeClr val="accent5"/>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dLbl>
      </c:pivotFmt>
    </c:pivotFmts>
    <c:plotArea>
      <c:layout/>
      <c:lineChart>
        <c:grouping val="standard"/>
        <c:varyColors val="0"/>
        <c:ser>
          <c:idx val="0"/>
          <c:order val="0"/>
          <c:tx>
            <c:strRef>
              <c:f>'CLEAN DATA ( IN CHART &amp; TABLE)'!$J$2</c:f>
              <c:strCache>
                <c:ptCount val="1"/>
                <c:pt idx="0">
                  <c:v>Sum of 2012</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tileRect/>
              </a:gradFill>
              <a:ln w="9525">
                <a:solidFill>
                  <a:schemeClr val="accent1"/>
                </a:solidFill>
                <a:round/>
              </a:ln>
              <a:effectLst>
                <a:outerShdw blurRad="57150" dist="19050" dir="5400000" algn="ctr" rotWithShape="0">
                  <a:srgbClr val="000000">
                    <a:alpha val="63000"/>
                  </a:srgbClr>
                </a:outerShdw>
              </a:effectLst>
            </c:spPr>
          </c:marker>
          <c:cat>
            <c:strRef>
              <c:f>'CLEAN DATA ( IN CHART &amp; TABLE)'!$I$3:$I$4</c:f>
              <c:strCache>
                <c:ptCount val="2"/>
                <c:pt idx="0">
                  <c:v>TAB.Antibiotics</c:v>
                </c:pt>
                <c:pt idx="1">
                  <c:v>Grand Total</c:v>
                </c:pt>
              </c:strCache>
            </c:strRef>
          </c:cat>
          <c:val>
            <c:numRef>
              <c:f>'CLEAN DATA ( IN CHART &amp; TABLE)'!$J$3:$J$4</c:f>
              <c:numCache>
                <c:formatCode>General</c:formatCode>
                <c:ptCount val="2"/>
                <c:pt idx="0">
                  <c:v>40000</c:v>
                </c:pt>
                <c:pt idx="1">
                  <c:v>40000</c:v>
                </c:pt>
              </c:numCache>
            </c:numRef>
          </c:val>
          <c:smooth val="0"/>
        </c:ser>
        <c:ser>
          <c:idx val="1"/>
          <c:order val="1"/>
          <c:tx>
            <c:strRef>
              <c:f>'CLEAN DATA ( IN CHART &amp; TABLE)'!$K$2</c:f>
              <c:strCache>
                <c:ptCount val="1"/>
                <c:pt idx="0">
                  <c:v>Sum of 2013</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tileRect/>
              </a:gradFill>
              <a:ln w="9525">
                <a:solidFill>
                  <a:schemeClr val="accent2"/>
                </a:solidFill>
                <a:round/>
              </a:ln>
              <a:effectLst>
                <a:outerShdw blurRad="57150" dist="19050" dir="5400000" algn="ctr" rotWithShape="0">
                  <a:srgbClr val="000000">
                    <a:alpha val="63000"/>
                  </a:srgbClr>
                </a:outerShdw>
              </a:effectLst>
            </c:spPr>
          </c:marker>
          <c:cat>
            <c:strRef>
              <c:f>'CLEAN DATA ( IN CHART &amp; TABLE)'!$I$3:$I$4</c:f>
              <c:strCache>
                <c:ptCount val="2"/>
                <c:pt idx="0">
                  <c:v>TAB.Antibiotics</c:v>
                </c:pt>
                <c:pt idx="1">
                  <c:v>Grand Total</c:v>
                </c:pt>
              </c:strCache>
            </c:strRef>
          </c:cat>
          <c:val>
            <c:numRef>
              <c:f>'CLEAN DATA ( IN CHART &amp; TABLE)'!$K$3:$K$4</c:f>
              <c:numCache>
                <c:formatCode>General</c:formatCode>
                <c:ptCount val="2"/>
                <c:pt idx="0">
                  <c:v>50000</c:v>
                </c:pt>
                <c:pt idx="1">
                  <c:v>50000</c:v>
                </c:pt>
              </c:numCache>
            </c:numRef>
          </c:val>
          <c:smooth val="0"/>
        </c:ser>
        <c:ser>
          <c:idx val="2"/>
          <c:order val="2"/>
          <c:tx>
            <c:strRef>
              <c:f>'CLEAN DATA ( IN CHART &amp; TABLE)'!$L$2</c:f>
              <c:strCache>
                <c:ptCount val="1"/>
                <c:pt idx="0">
                  <c:v>Sum of 2014</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tileRect/>
              </a:gradFill>
              <a:ln w="9525">
                <a:solidFill>
                  <a:schemeClr val="accent3"/>
                </a:solidFill>
                <a:round/>
              </a:ln>
              <a:effectLst>
                <a:outerShdw blurRad="57150" dist="19050" dir="5400000" algn="ctr" rotWithShape="0">
                  <a:srgbClr val="000000">
                    <a:alpha val="63000"/>
                  </a:srgbClr>
                </a:outerShdw>
              </a:effectLst>
            </c:spPr>
          </c:marker>
          <c:cat>
            <c:strRef>
              <c:f>'CLEAN DATA ( IN CHART &amp; TABLE)'!$I$3:$I$4</c:f>
              <c:strCache>
                <c:ptCount val="2"/>
                <c:pt idx="0">
                  <c:v>TAB.Antibiotics</c:v>
                </c:pt>
                <c:pt idx="1">
                  <c:v>Grand Total</c:v>
                </c:pt>
              </c:strCache>
            </c:strRef>
          </c:cat>
          <c:val>
            <c:numRef>
              <c:f>'CLEAN DATA ( IN CHART &amp; TABLE)'!$L$3:$L$4</c:f>
              <c:numCache>
                <c:formatCode>General</c:formatCode>
                <c:ptCount val="2"/>
                <c:pt idx="0">
                  <c:v>60000</c:v>
                </c:pt>
                <c:pt idx="1">
                  <c:v>60000</c:v>
                </c:pt>
              </c:numCache>
            </c:numRef>
          </c:val>
          <c:smooth val="0"/>
        </c:ser>
        <c:ser>
          <c:idx val="3"/>
          <c:order val="3"/>
          <c:tx>
            <c:strRef>
              <c:f>'CLEAN DATA ( IN CHART &amp; TABLE)'!$M$2</c:f>
              <c:strCache>
                <c:ptCount val="1"/>
                <c:pt idx="0">
                  <c:v>Sum of 2015</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w="9525">
                <a:solidFill>
                  <a:schemeClr val="accent4"/>
                </a:solidFill>
                <a:round/>
              </a:ln>
              <a:effectLst>
                <a:outerShdw blurRad="57150" dist="19050" dir="5400000" algn="ctr" rotWithShape="0">
                  <a:srgbClr val="000000">
                    <a:alpha val="63000"/>
                  </a:srgbClr>
                </a:outerShdw>
              </a:effectLst>
            </c:spPr>
          </c:marker>
          <c:cat>
            <c:strRef>
              <c:f>'CLEAN DATA ( IN CHART &amp; TABLE)'!$I$3:$I$4</c:f>
              <c:strCache>
                <c:ptCount val="2"/>
                <c:pt idx="0">
                  <c:v>TAB.Antibiotics</c:v>
                </c:pt>
                <c:pt idx="1">
                  <c:v>Grand Total</c:v>
                </c:pt>
              </c:strCache>
            </c:strRef>
          </c:cat>
          <c:val>
            <c:numRef>
              <c:f>'CLEAN DATA ( IN CHART &amp; TABLE)'!$M$3:$M$4</c:f>
              <c:numCache>
                <c:formatCode>General</c:formatCode>
                <c:ptCount val="2"/>
                <c:pt idx="0">
                  <c:v>30000</c:v>
                </c:pt>
                <c:pt idx="1">
                  <c:v>30000</c:v>
                </c:pt>
              </c:numCache>
            </c:numRef>
          </c:val>
          <c:smooth val="0"/>
        </c:ser>
        <c:ser>
          <c:idx val="4"/>
          <c:order val="4"/>
          <c:tx>
            <c:strRef>
              <c:f>'CLEAN DATA ( IN CHART &amp; TABLE)'!$N$2</c:f>
              <c:strCache>
                <c:ptCount val="1"/>
                <c:pt idx="0">
                  <c:v>Sum of 2016</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tileRect/>
              </a:gradFill>
              <a:ln w="9525">
                <a:solidFill>
                  <a:schemeClr val="accent5"/>
                </a:solidFill>
                <a:round/>
              </a:ln>
              <a:effectLst>
                <a:outerShdw blurRad="57150" dist="19050" dir="5400000" algn="ctr" rotWithShape="0">
                  <a:srgbClr val="000000">
                    <a:alpha val="63000"/>
                  </a:srgbClr>
                </a:outerShdw>
              </a:effectLst>
            </c:spPr>
          </c:marker>
          <c:cat>
            <c:strRef>
              <c:f>'CLEAN DATA ( IN CHART &amp; TABLE)'!$I$3:$I$4</c:f>
              <c:strCache>
                <c:ptCount val="2"/>
                <c:pt idx="0">
                  <c:v>TAB.Antibiotics</c:v>
                </c:pt>
                <c:pt idx="1">
                  <c:v>Grand Total</c:v>
                </c:pt>
              </c:strCache>
            </c:strRef>
          </c:cat>
          <c:val>
            <c:numRef>
              <c:f>'CLEAN DATA ( IN CHART &amp; TABLE)'!$N$3:$N$4</c:f>
              <c:numCache>
                <c:formatCode>General</c:formatCode>
                <c:ptCount val="2"/>
                <c:pt idx="0">
                  <c:v>100000</c:v>
                </c:pt>
                <c:pt idx="1">
                  <c:v>100000</c:v>
                </c:pt>
              </c:numCache>
            </c:numRef>
          </c:val>
          <c:smooth val="0"/>
        </c:ser>
        <c:dLbls>
          <c:showLegendKey val="0"/>
          <c:showVal val="0"/>
          <c:showCatName val="0"/>
          <c:showSerName val="0"/>
          <c:showPercent val="0"/>
          <c:showBubbleSize val="0"/>
        </c:dLbls>
        <c:marker val="1"/>
        <c:smooth val="0"/>
        <c:axId val="1"/>
        <c:axId val="2"/>
      </c:lineChart>
      <c:catAx>
        <c:axId val="1"/>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w="9525"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
        <c:crosses val="autoZero"/>
        <c:auto val="1"/>
        <c:lblAlgn val="ctr"/>
        <c:lblOffset val="100"/>
        <c:noMultiLvlLbl val="0"/>
      </c:catAx>
      <c:valAx>
        <c:axId val="2"/>
        <c:scaling>
          <c:orientation val="minMax"/>
        </c:scaling>
        <c:delete val="0"/>
        <c:axPos val="l"/>
        <c:majorGridlines>
          <c:spPr>
            <a:ln w="9525" cmpd="sng" algn="ctr">
              <a:solidFill>
                <a:schemeClr val="lt1">
                  <a:lumMod val="95000"/>
                  <a:alpha val="10000"/>
                </a:schemeClr>
              </a:solidFill>
              <a:round/>
            </a:ln>
            <a:effectLst/>
          </c:spPr>
        </c:majorGridlines>
        <c:title>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l="0.7" r="0.7" t="0.75" b="0.75" header="0.3" footer="0.3"/>
    <c:pageSetup/>
  </c:printSettings>
</c:chartSpace>
</file>

<file path=xl/drawings/_rels/drawing1.xml.rels>&#65279;<?xml version="1.0" encoding="utf-8"?><Relationships xmlns="http://schemas.openxmlformats.org/package/2006/relationships"><Relationship Id="rId1" Type="http://schemas.openxmlformats.org/officeDocument/2006/relationships/chart" Target="../charts/chart1.xml" /></Relationships>
</file>

<file path=xl/drawings/_rels/drawing3.xml.rels>&#65279;<?xml version="1.0" encoding="utf-8"?><Relationships xmlns="http://schemas.openxmlformats.org/package/2006/relationships"><Relationship Id="rId1" Type="http://schemas.openxmlformats.org/officeDocument/2006/relationships/chart" Target="../charts/chart2.xml" /></Relationships>
</file>

<file path=xl/drawings/_rels/drawing4.xml.rels>&#65279;<?xml version="1.0" encoding="utf-8"?><Relationships xmlns="http://schemas.openxmlformats.org/package/2006/relationships"><Relationship Id="rId1" Type="http://schemas.openxmlformats.org/officeDocument/2006/relationships/chart" Target="../charts/chart3.xml" /><Relationship Id="rId2" Type="http://schemas.openxmlformats.org/officeDocument/2006/relationships/chart" Target="../charts/chart4.xml" /><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dr:twoCellAnchor>
    <xdr:from>
      <xdr:col>6</xdr:col>
      <xdr:colOff>13970</xdr:colOff>
      <xdr:row>4</xdr:row>
      <xdr:rowOff>28575</xdr:rowOff>
    </xdr:from>
    <xdr:to>
      <xdr:col>20</xdr:col>
      <xdr:colOff>581025</xdr:colOff>
      <xdr:row>15</xdr:row>
      <xdr:rowOff>361950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655320</xdr:colOff>
      <xdr:row>4</xdr:row>
      <xdr:rowOff>22860</xdr:rowOff>
    </xdr:from>
    <xdr:to>
      <xdr:col>11</xdr:col>
      <xdr:colOff>419100</xdr:colOff>
      <xdr:row>10</xdr:row>
      <xdr:rowOff>99060</xdr:rowOff>
    </xdr:to>
    <mc:AlternateContent xmlns:mc="http://schemas.openxmlformats.org/markup-compatibility/2006">
      <mc:Choice xmlns:sle15="http://schemas.microsoft.com/office/drawing/2012/slicer" Requires="sle15">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2" name=""/>
            <xdr:cNvSpPr>
              <a:spLocks noTextEdit="1"/>
            </xdr:cNvSpPr>
          </xdr:nvSpPr>
          <xdr:spPr>
            <a:xfrm>
              <a:off x="5151120" y="1203960"/>
              <a:ext cx="4564380" cy="18478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2</xdr:row>
      <xdr:rowOff>171450</xdr:rowOff>
    </xdr:from>
    <xdr:to>
      <xdr:col>8</xdr:col>
      <xdr:colOff>624840</xdr:colOff>
      <xdr:row>23</xdr:row>
      <xdr:rowOff>15240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394335</xdr:colOff>
      <xdr:row>7</xdr:row>
      <xdr:rowOff>173355</xdr:rowOff>
    </xdr:from>
    <xdr:to>
      <xdr:col>5</xdr:col>
      <xdr:colOff>299085</xdr:colOff>
      <xdr:row>18</xdr:row>
      <xdr:rowOff>299085</xdr:rowOff>
    </xdr:to>
    <mc:AlternateContent xmlns:mc="http://schemas.openxmlformats.org/markup-compatibility/2006">
      <mc:Choice xmlns:a14="http://schemas.microsoft.com/office/drawing/2010/main" Requires="a14">
        <xdr:graphicFrame macro="">
          <xdr:nvGraphicFramePr>
            <xdr:cNvPr id="5" name="TAB.Medicines"/>
            <xdr:cNvGraphicFramePr/>
          </xdr:nvGraphicFramePr>
          <xdr:xfrm>
            <a:off x="0" y="0"/>
            <a:ext cx="0" cy="0"/>
          </xdr:xfrm>
          <a:graphic>
            <a:graphicData uri="http://schemas.microsoft.com/office/drawing/2010/slicer">
              <sle:slicer xmlns:sle="http://schemas.microsoft.com/office/drawing/2010/slicer" name="TAB.Medicines"/>
            </a:graphicData>
          </a:graphic>
        </xdr:graphicFrame>
      </mc:Choice>
      <mc:Fallback>
        <xdr:sp macro="" textlink="">
          <xdr:nvSpPr>
            <xdr:cNvPr id="5" name=""/>
            <xdr:cNvSpPr>
              <a:spLocks noTextEdit="1"/>
            </xdr:cNvSpPr>
          </xdr:nvSpPr>
          <xdr:spPr>
            <a:xfrm>
              <a:off x="394606" y="2840181"/>
              <a:ext cx="3238499" cy="4317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4</xdr:row>
      <xdr:rowOff>381000</xdr:rowOff>
    </xdr:from>
    <xdr:to>
      <xdr:col>30</xdr:col>
      <xdr:colOff>92710</xdr:colOff>
      <xdr:row>19</xdr:row>
      <xdr:rowOff>13335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40640</xdr:colOff>
      <xdr:row>19</xdr:row>
      <xdr:rowOff>40640</xdr:rowOff>
    </xdr:from>
    <xdr:to>
      <xdr:col>17</xdr:col>
      <xdr:colOff>108585</xdr:colOff>
      <xdr:row>31</xdr:row>
      <xdr:rowOff>95250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190500</xdr:colOff>
      <xdr:row>19</xdr:row>
      <xdr:rowOff>40640</xdr:rowOff>
    </xdr:from>
    <xdr:to>
      <xdr:col>30</xdr:col>
      <xdr:colOff>81915</xdr:colOff>
      <xdr:row>31</xdr:row>
      <xdr:rowOff>108585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&#65279;<?xml version="1.0" encoding="utf-8"?><Relationships xmlns="http://schemas.openxmlformats.org/package/2006/relationships"><Relationship Id="rId1" Type="http://schemas.openxmlformats.org/officeDocument/2006/relationships/externalLinkPath" Target="file:///C:\Users\drnis\OneDrive\Desktop\PW%20Skills%20-%20Live%20session%20resources\Lectures_new.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plit (and freeze)"/>
      <sheetName val="FORMULAS AND FUNCTIONS"/>
      <sheetName val="goto, go to special"/>
      <sheetName val="find, replace"/>
      <sheetName val="VIsible cells only"/>
      <sheetName val="FILL - down right flash"/>
      <sheetName val="Copying formulas"/>
      <sheetName val="SUBTOTAL"/>
      <sheetName val="ROUND FUNCTIONS"/>
      <sheetName val="Text functions"/>
      <sheetName val="Basic formatting"/>
      <sheetName val="Logical operators (test)"/>
      <sheetName val="How to use IF functions"/>
      <sheetName val="Absolute Relative cell referenc"/>
      <sheetName val="If functions "/>
      <sheetName val="IFs Functions"/>
      <sheetName val="Database functions"/>
      <sheetName val="Logical functions"/>
      <sheetName val="Speak cells, Show hide formulas"/>
      <sheetName val="Trace precedents and dependents"/>
      <sheetName val="Evaluate formulas"/>
      <sheetName val="FOrmula auditing 2"/>
      <sheetName val="Excel Protection"/>
      <sheetName val="Text to columns - Delimiter"/>
      <sheetName val="Text to columns - Fixed width"/>
      <sheetName val="Textsplit function"/>
      <sheetName val="Textbefore function"/>
      <sheetName val="Textafter function"/>
      <sheetName val="Naming ranges"/>
      <sheetName val="Tables in Excel"/>
      <sheetName val="Data Validation"/>
      <sheetName val="Dropdown"/>
      <sheetName val="Data for dropdown"/>
      <sheetName val="Dependent dropdown"/>
      <sheetName val="Index and Match functions"/>
      <sheetName val="HLOOKUP"/>
      <sheetName val="VLOOKUP"/>
      <sheetName val="LOOKUP"/>
      <sheetName val="XLOOKUP"/>
      <sheetName val="Offset"/>
      <sheetName val="Number formatting"/>
      <sheetName val="Date and Time formatting"/>
      <sheetName val="Excel Table"/>
      <sheetName val="Basic Sorting and Filtering"/>
      <sheetName val="Advanced sorting and filtering"/>
      <sheetName val="Sheet6"/>
      <sheetName val="Removing Duplicates"/>
      <sheetName val="Remove duplicates - Table3"/>
      <sheetName val="Scenario manager"/>
      <sheetName val="Scenario Summary"/>
      <sheetName val="Scenario PivotTable"/>
      <sheetName val="Data Table"/>
      <sheetName val="Goal seek - 1"/>
      <sheetName val="Goal Seek - 2"/>
      <sheetName val="Sales - 2021"/>
      <sheetName val="Sales - 2022"/>
      <sheetName val="Sales - 2023"/>
      <sheetName val="Sales - 2024"/>
      <sheetName val="Consolidate TotalSales"/>
      <sheetName val="Type Check"/>
      <sheetName val="Approximate &amp; true match"/>
      <sheetName val="Date Time functions"/>
      <sheetName val="Basic Conditional formatting"/>
      <sheetName val="Advanced Conditional formatting"/>
      <sheetName val="Data for Pivot table"/>
      <sheetName val="Pivot grouping"/>
      <sheetName val="Pivot Table"/>
      <sheetName val="Pivot Table 2"/>
      <sheetName val="Data for Pivot chart"/>
      <sheetName val="Pivot Chart"/>
      <sheetName val="Pivot Slicer"/>
      <sheetName val="Pivot Timeline"/>
      <sheetName val="Charts - Column, Clustered, Pie"/>
      <sheetName val="Charts - Line, Clustered bar"/>
      <sheetName val="Charts - Sprklne, Wtrf, Fnnl"/>
      <sheetName val="Charts - Treemap, Sunburst"/>
      <sheetName val="Unclean data"/>
      <sheetName val="Power Query - Cleaned data"/>
      <sheetName val="Power Query Merge."/>
      <sheetName val="Table1"/>
      <sheetName val="Table2"/>
      <sheetName val="Append1"/>
      <sheetName val="Sheet5"/>
      <sheetName val="Sheet2"/>
      <sheetName val="Sheet1"/>
      <sheetName val="Unclean sales data"/>
      <sheetName val="Clean sales data"/>
      <sheetName val="Dashboard_New"/>
    </sheetNames>
    <sheetDataSet>
      <sheetData refreshError="1" sheetId="0"/>
      <sheetData refreshError="1" sheetId="1"/>
      <sheetData refreshError="1" sheetId="2"/>
      <sheetData refreshError="1" sheetId="3"/>
      <sheetData refreshError="1" sheetId="4"/>
      <sheetData refreshError="1" sheetId="5"/>
      <sheetData refreshError="1" sheetId="6"/>
      <sheetData refreshError="1" sheetId="7"/>
      <sheetData refreshError="1" sheetId="8"/>
      <sheetData refreshError="1" sheetId="9"/>
      <sheetData refreshError="1" sheetId="10"/>
      <sheetData refreshError="1" sheetId="11"/>
      <sheetData refreshError="1" sheetId="12"/>
      <sheetData refreshError="1" sheetId="13"/>
      <sheetData refreshError="1" sheetId="14"/>
      <sheetData refreshError="1" sheetId="15"/>
      <sheetData refreshError="1" sheetId="16"/>
      <sheetData refreshError="1" sheetId="17"/>
      <sheetData refreshError="1" sheetId="18"/>
      <sheetData refreshError="1" sheetId="19"/>
      <sheetData refreshError="1" sheetId="20"/>
      <sheetData refreshError="1" sheetId="21"/>
      <sheetData refreshError="1" sheetId="22"/>
      <sheetData refreshError="1" sheetId="23"/>
      <sheetData refreshError="1" sheetId="24"/>
      <sheetData refreshError="1" sheetId="25"/>
      <sheetData refreshError="1" sheetId="26"/>
      <sheetData refreshError="1" sheetId="27"/>
      <sheetData refreshError="1" sheetId="28"/>
      <sheetData refreshError="1" sheetId="29"/>
      <sheetData refreshError="1" sheetId="30"/>
      <sheetData refreshError="1" sheetId="31"/>
      <sheetData sheetId="32">
        <row r="4">
          <cell r="F4">
            <v>5</v>
          </cell>
        </row>
        <row r="5">
          <cell r="F5">
            <v>6</v>
          </cell>
        </row>
        <row r="6">
          <cell r="F6">
            <v>10</v>
          </cell>
        </row>
        <row r="7">
          <cell r="F7">
            <v>4</v>
          </cell>
        </row>
        <row r="8">
          <cell r="F8">
            <v>9</v>
          </cell>
        </row>
        <row r="9">
          <cell r="F9">
            <v>8</v>
          </cell>
        </row>
        <row r="10">
          <cell r="F10">
            <v>7</v>
          </cell>
        </row>
      </sheetData>
      <sheetData sheetId="33"/>
      <sheetData refreshError="1" sheetId="34"/>
      <sheetData refreshError="1" sheetId="35"/>
      <sheetData refreshError="1" sheetId="36"/>
      <sheetData refreshError="1" sheetId="37"/>
      <sheetData refreshError="1" sheetId="38"/>
      <sheetData refreshError="1" sheetId="39"/>
      <sheetData refreshError="1" sheetId="40"/>
      <sheetData refreshError="1" sheetId="41"/>
      <sheetData refreshError="1" sheetId="42"/>
      <sheetData refreshError="1" sheetId="43"/>
      <sheetData refreshError="1" sheetId="44"/>
      <sheetData refreshError="1" sheetId="45"/>
      <sheetData refreshError="1" sheetId="46"/>
      <sheetData refreshError="1" sheetId="47"/>
      <sheetData sheetId="48"/>
      <sheetData refreshError="1" sheetId="49"/>
      <sheetData refreshError="1" sheetId="50"/>
      <sheetData sheetId="51"/>
      <sheetData refreshError="1" sheetId="52"/>
      <sheetData refreshError="1" sheetId="53"/>
      <sheetData refreshError="1" sheetId="54"/>
      <sheetData refreshError="1" sheetId="55"/>
      <sheetData refreshError="1" sheetId="56"/>
      <sheetData refreshError="1" sheetId="57"/>
      <sheetData refreshError="1" sheetId="58"/>
      <sheetData refreshError="1" sheetId="59"/>
      <sheetData refreshError="1" sheetId="60"/>
      <sheetData refreshError="1" sheetId="61"/>
      <sheetData refreshError="1" sheetId="62"/>
      <sheetData refreshError="1" sheetId="63"/>
      <sheetData refreshError="1" sheetId="64"/>
      <sheetData refreshError="1" sheetId="65"/>
      <sheetData refreshError="1" sheetId="66"/>
      <sheetData refreshError="1" sheetId="67"/>
      <sheetData refreshError="1" sheetId="68"/>
      <sheetData refreshError="1" sheetId="69"/>
      <sheetData refreshError="1" sheetId="70"/>
      <sheetData refreshError="1" sheetId="71"/>
      <sheetData refreshError="1" sheetId="72"/>
      <sheetData refreshError="1" sheetId="73"/>
      <sheetData refreshError="1" sheetId="74"/>
      <sheetData refreshError="1" sheetId="75"/>
      <sheetData refreshError="1" sheetId="76"/>
      <sheetData refreshError="1" sheetId="77"/>
      <sheetData refreshError="1" sheetId="78"/>
      <sheetData refreshError="1" sheetId="79"/>
      <sheetData refreshError="1" sheetId="80"/>
      <sheetData refreshError="1" sheetId="81"/>
      <sheetData refreshError="1" sheetId="82"/>
      <sheetData refreshError="1" sheetId="83"/>
      <sheetData refreshError="1" sheetId="84"/>
      <sheetData refreshError="1" sheetId="85"/>
      <sheetData refreshError="1" sheetId="86"/>
      <sheetData refreshError="1" sheetId="87"/>
    </sheetDataSet>
  </externalBook>
</externalLink>
</file>

<file path=xl/pivotCache/_rels/pivotCacheDefinition1.xml.rels>&#65279;<?xml version="1.0" encoding="utf-8"?><Relationships xmlns="http://schemas.openxmlformats.org/package/2006/relationships"><Relationship Id="rId1" Type="http://schemas.openxmlformats.org/officeDocument/2006/relationships/pivotCacheRecords" Target="pivotCacheRecords1.xml" /></Relationships>
</file>

<file path=xl/pivotCache/_rels/pivotCacheDefinition2.xml.rels>&#65279;<?xml version="1.0" encoding="utf-8"?><Relationships xmlns="http://schemas.openxmlformats.org/package/2006/relationships"><Relationship Id="rId1" Type="http://schemas.openxmlformats.org/officeDocument/2006/relationships/pivotCacheRecords" Target="pivotCacheRecords2.xml" /></Relationships>
</file>

<file path=xl/pivotCache/_rels/pivotCacheDefinition3.xml.rels>&#65279;<?xml version="1.0" encoding="utf-8"?><Relationships xmlns="http://schemas.openxmlformats.org/package/2006/relationships"><Relationship Id="rId1" Type="http://schemas.openxmlformats.org/officeDocument/2006/relationships/pivotCacheRecords" Target="pivotCacheRecords3.xml" /></Relationships>
</file>

<file path=xl/pivotCache/pivotCacheDefinition1.xml><?xml version="1.0" encoding="utf-8"?>
<pivotCacheDefinition xmlns:r="http://schemas.openxmlformats.org/officeDocument/2006/relationships" xmlns="http://schemas.openxmlformats.org/spreadsheetml/2006/main" r:id="rId1" refreshedBy="DR. NISHTHA JAIN" refreshedDate="45934.8978006944" createdVersion="8" refreshedVersion="8" minRefreshableVersion="3" recordCount="20">
  <cacheSource type="worksheet">
    <worksheetSource name="Table1"/>
  </cacheSource>
  <cacheFields count="4">
    <cacheField name="Items" numFmtId="0">
      <sharedItems count="15">
        <s v="Beauty products"/>
        <s v="Mobile Accessories"/>
        <s v="Home décor"/>
        <s v="Kitchen ware"/>
        <s v="Smart watch"/>
        <s v="Baby products"/>
        <s v="Jewellery"/>
        <s v="Perfumes"/>
        <s v="Personal care"/>
        <s v="Wrist Watch"/>
        <s v="Bass Headphones"/>
        <s v="Pet supplies"/>
        <s v="Health &amp; wellness"/>
        <s v="Beverages"/>
        <s v="Books"/>
      </sharedItems>
    </cacheField>
    <cacheField name="Prices" numFmtId="165">
      <sharedItems containsSemiMixedTypes="0" containsString="0" containsNumber="1" containsInteger="1" minValue="5000" maxValue="80000" count="17">
        <n v="5000"/>
        <n v="6000"/>
        <n v="7000"/>
        <n v="8000"/>
        <n v="9000"/>
        <n v="10000"/>
        <n v="15000"/>
        <n v="18000"/>
        <n v="25000"/>
        <n v="30000"/>
        <n v="35000"/>
        <n v="36000"/>
        <n v="40000"/>
        <n v="45000"/>
        <n v="50000"/>
        <n v="70000"/>
        <n v="80000"/>
      </sharedItems>
    </cacheField>
    <cacheField name="Dates" numFmtId="14">
      <sharedItems containsSemiMixedTypes="0" containsNonDate="0" containsDate="1" containsString="0" minDate="2024-01-01T00:00:00" maxDate="2024-11-05T00:00:00" count="18">
        <d v="2024-03-08T00:00:00"/>
        <d v="2024-01-06T00:00:00"/>
        <d v="2024-01-17T00:00:00"/>
        <d v="2024-04-10T00:00:00"/>
        <d v="2024-01-01T00:00:00"/>
        <d v="2024-01-22T00:00:00"/>
        <d v="2024-05-03T00:00:00"/>
        <d v="2024-01-19T00:00:00"/>
        <d v="2024-07-20T00:00:00"/>
        <d v="2024-01-10T00:00:00"/>
        <d v="2024-08-15T00:00:00"/>
        <d v="2024-01-13T00:00:00"/>
        <d v="2024-09-13T00:00:00"/>
        <d v="2024-01-11T00:00:00"/>
        <d v="2024-06-12T00:00:00"/>
        <d v="2024-01-07T00:00:00"/>
        <d v="2024-11-04T00:00:00"/>
        <d v="2024-01-05T00:00:00"/>
      </sharedItems>
    </cacheField>
    <cacheField name="Regions" numFmtId="0">
      <sharedItems count="4">
        <s v="South"/>
        <s v="East"/>
        <s v="West"/>
        <s v="North"/>
      </sharedItems>
    </cacheField>
  </cacheFields>
</pivotCacheDefinition>
</file>

<file path=xl/pivotCache/pivotCacheDefinition2.xml><?xml version="1.0" encoding="utf-8"?>
<pivotCacheDefinition xmlns:r="http://schemas.openxmlformats.org/officeDocument/2006/relationships" xmlns="http://schemas.openxmlformats.org/spreadsheetml/2006/main" r:id="rId1" refreshedBy="SACHIN YADAV" refreshedDate="45939.8625462963" createdVersion="8" refreshedVersion="8" minRefreshableVersion="3" recordCount="22">
  <cacheSource type="worksheet">
    <worksheetSource name="Table2"/>
  </cacheSource>
  <cacheFields count="4">
    <cacheField name="Date" numFmtId="14">
      <sharedItems containsSemiMixedTypes="0" containsNonDate="0" containsDate="1" containsString="0" minDate="2000-01-01T00:00:00" maxDate="2000-01-23T00:00:00" count="22">
        <d v="2000-01-06T00:00:00"/>
        <d v="2000-01-17T00:00:00"/>
        <d v="2000-01-10T00:00:00"/>
        <d v="2000-01-05T00:00:00"/>
        <d v="2000-01-08T00:00:00"/>
        <d v="2000-01-01T00:00:00"/>
        <d v="2000-01-03T00:00:00"/>
        <d v="2000-01-19T00:00:00"/>
        <d v="2000-01-16T00:00:00"/>
        <d v="2000-01-20T00:00:00"/>
        <d v="2000-01-09T00:00:00"/>
        <d v="2000-01-14T00:00:00"/>
        <d v="2000-01-13T00:00:00"/>
        <d v="2000-01-12T00:00:00"/>
        <d v="2000-01-21T00:00:00"/>
        <d v="2000-01-15T00:00:00"/>
        <d v="2000-01-11T00:00:00"/>
        <d v="2000-01-07T00:00:00"/>
        <d v="2000-01-02T00:00:00"/>
        <d v="2000-01-18T00:00:00"/>
        <d v="2000-01-22T00:00:00"/>
        <d v="2000-01-04T00:00:00"/>
      </sharedItems>
    </cacheField>
    <cacheField name="Region" numFmtId="0">
      <sharedItems count="4">
        <s v="East"/>
        <s v="North"/>
        <s v="South"/>
        <s v="West"/>
      </sharedItems>
    </cacheField>
    <cacheField name="Items" numFmtId="0">
      <sharedItems count="11">
        <s v="Footwear"/>
        <s v="Mobile"/>
        <s v="Smartwatch"/>
        <s v="Bass Headphones"/>
        <s v="Beard trimmer"/>
        <s v="Deodarant"/>
        <s v="Shaving cream"/>
        <s v="Wrist watch"/>
        <s v="Earbuds"/>
        <s v="Jackets"/>
        <s v="Hair dryer"/>
      </sharedItems>
    </cacheField>
    <cacheField name="Price" numFmtId="0">
      <sharedItems containsSemiMixedTypes="0" containsString="0" containsNumber="1" containsInteger="1" minValue="3000" maxValue="48960" count="11">
        <n v="12000"/>
        <n v="35700"/>
        <n v="42840"/>
        <n v="10000"/>
        <n v="32640"/>
        <n v="4000"/>
        <n v="8000"/>
        <n v="48960"/>
        <n v="6000"/>
        <n v="3000"/>
        <n v="9000"/>
      </sharedItems>
    </cacheField>
  </cacheFields>
</pivotCacheDefinition>
</file>

<file path=xl/pivotCache/pivotCacheDefinition3.xml><?xml version="1.0" encoding="utf-8"?>
<pivotCacheDefinition xmlns:r="http://schemas.openxmlformats.org/officeDocument/2006/relationships" xmlns="http://schemas.openxmlformats.org/spreadsheetml/2006/main" r:id="rId1" refreshedBy="SACHIN YADAV" refreshedDate="45944.5157892361" createdVersion="8" refreshedVersion="8" minRefreshableVersion="3" recordCount="8">
  <cacheSource type="worksheet">
    <worksheetSource name="Table7_2"/>
  </cacheSource>
  <cacheFields count="6">
    <cacheField name="TAB.Medicines" numFmtId="0">
      <sharedItems count="8">
        <s v="TAB.Antibiotics"/>
        <s v="TAB.Probiotics"/>
        <s v="TAB.Steroids"/>
        <s v="TAB.Analgesics"/>
        <s v="TAB.Anti-allergics"/>
        <s v="TAB.Laxatives"/>
        <s v="TAB.Antivirals"/>
        <s v="TAB.Antacids"/>
      </sharedItems>
    </cacheField>
    <cacheField name="2012" numFmtId="0">
      <sharedItems containsSemiMixedTypes="0" containsString="0" containsNumber="1" containsInteger="1" minValue="30000" maxValue="70000" count="5">
        <n v="40000"/>
        <n v="30000"/>
        <n v="50000"/>
        <n v="60000"/>
        <n v="70000"/>
      </sharedItems>
    </cacheField>
    <cacheField name="2013" numFmtId="0">
      <sharedItems containsSemiMixedTypes="0" containsString="0" containsNumber="1" containsInteger="1" minValue="0" maxValue="120000" count="8">
        <n v="50000"/>
        <n v="35000"/>
        <n v="80000"/>
        <n v="60000"/>
        <n v="120000"/>
        <n v="10000"/>
        <n v="0"/>
        <n v="70000"/>
      </sharedItems>
    </cacheField>
    <cacheField name="2014" numFmtId="0">
      <sharedItems containsSemiMixedTypes="0" containsString="0" containsNumber="1" containsInteger="1" minValue="0" maxValue="100000" count="6">
        <n v="60000"/>
        <n v="0"/>
        <n v="100000"/>
        <n v="30000"/>
        <n v="70000"/>
        <n v="50000"/>
      </sharedItems>
    </cacheField>
    <cacheField name="2015" numFmtId="0">
      <sharedItems containsSemiMixedTypes="0" containsString="0" containsNumber="1" containsInteger="1" minValue="0" maxValue="90000" count="8">
        <n v="30000"/>
        <n v="90000"/>
        <n v="50000"/>
        <n v="0"/>
        <n v="45000"/>
        <n v="20000"/>
        <n v="80000"/>
        <n v="10000"/>
      </sharedItems>
    </cacheField>
    <cacheField name="2016" numFmtId="0">
      <sharedItems containsSemiMixedTypes="0" containsString="0" containsNumber="1" containsInteger="1" minValue="0" maxValue="100000" count="6">
        <n v="100000"/>
        <n v="50000"/>
        <n v="0"/>
        <n v="87494"/>
        <n v="20000"/>
        <n v="45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r="http://schemas.openxmlformats.org/officeDocument/2006/relationships" xmlns="http://schemas.openxmlformats.org/spreadsheetml/2006/main" count="20">
  <r>
    <x v="0"/>
    <x v="0"/>
    <x v="0"/>
    <x v="0"/>
  </r>
  <r>
    <x v="1"/>
    <x v="1"/>
    <x v="1"/>
    <x v="1"/>
  </r>
  <r>
    <x v="2"/>
    <x v="2"/>
    <x v="2"/>
    <x v="1"/>
  </r>
  <r>
    <x v="3"/>
    <x v="3"/>
    <x v="3"/>
    <x v="1"/>
  </r>
  <r>
    <x v="4"/>
    <x v="4"/>
    <x v="1"/>
    <x v="2"/>
  </r>
  <r>
    <x v="5"/>
    <x v="5"/>
    <x v="4"/>
    <x v="3"/>
  </r>
  <r>
    <x v="2"/>
    <x v="5"/>
    <x v="5"/>
    <x v="0"/>
  </r>
  <r>
    <x v="6"/>
    <x v="6"/>
    <x v="6"/>
    <x v="3"/>
  </r>
  <r>
    <x v="7"/>
    <x v="7"/>
    <x v="7"/>
    <x v="3"/>
  </r>
  <r>
    <x v="8"/>
    <x v="8"/>
    <x v="8"/>
    <x v="2"/>
  </r>
  <r>
    <x v="9"/>
    <x v="8"/>
    <x v="9"/>
    <x v="3"/>
  </r>
  <r>
    <x v="10"/>
    <x v="9"/>
    <x v="10"/>
    <x v="0"/>
  </r>
  <r>
    <x v="11"/>
    <x v="9"/>
    <x v="11"/>
    <x v="0"/>
  </r>
  <r>
    <x v="12"/>
    <x v="10"/>
    <x v="12"/>
    <x v="0"/>
  </r>
  <r>
    <x v="13"/>
    <x v="11"/>
    <x v="13"/>
    <x v="2"/>
  </r>
  <r>
    <x v="14"/>
    <x v="12"/>
    <x v="14"/>
    <x v="2"/>
  </r>
  <r>
    <x v="0"/>
    <x v="13"/>
    <x v="15"/>
    <x v="1"/>
  </r>
  <r>
    <x v="4"/>
    <x v="14"/>
    <x v="5"/>
    <x v="3"/>
  </r>
  <r>
    <x v="7"/>
    <x v="15"/>
    <x v="16"/>
    <x v="2"/>
  </r>
  <r>
    <x v="9"/>
    <x v="16"/>
    <x v="17"/>
    <x v="2"/>
  </r>
</pivotCacheRecords>
</file>

<file path=xl/pivotCache/pivotCacheRecords2.xml><?xml version="1.0" encoding="utf-8"?>
<pivotCacheRecords xmlns:r="http://schemas.openxmlformats.org/officeDocument/2006/relationships" xmlns="http://schemas.openxmlformats.org/spreadsheetml/2006/main" count="22">
  <r>
    <x v="0"/>
    <x v="0"/>
    <x v="0"/>
    <x v="0"/>
  </r>
  <r>
    <x v="1"/>
    <x v="0"/>
    <x v="1"/>
    <x v="1"/>
  </r>
  <r>
    <x v="2"/>
    <x v="0"/>
    <x v="1"/>
    <x v="2"/>
  </r>
  <r>
    <x v="3"/>
    <x v="0"/>
    <x v="2"/>
    <x v="3"/>
  </r>
  <r>
    <x v="4"/>
    <x v="1"/>
    <x v="3"/>
    <x v="4"/>
  </r>
  <r>
    <x v="5"/>
    <x v="1"/>
    <x v="4"/>
    <x v="5"/>
  </r>
  <r>
    <x v="6"/>
    <x v="1"/>
    <x v="5"/>
    <x v="6"/>
  </r>
  <r>
    <x v="7"/>
    <x v="1"/>
    <x v="5"/>
    <x v="6"/>
  </r>
  <r>
    <x v="8"/>
    <x v="1"/>
    <x v="1"/>
    <x v="2"/>
  </r>
  <r>
    <x v="9"/>
    <x v="1"/>
    <x v="6"/>
    <x v="6"/>
  </r>
  <r>
    <x v="10"/>
    <x v="1"/>
    <x v="7"/>
    <x v="7"/>
  </r>
  <r>
    <x v="11"/>
    <x v="2"/>
    <x v="3"/>
    <x v="4"/>
  </r>
  <r>
    <x v="12"/>
    <x v="2"/>
    <x v="8"/>
    <x v="1"/>
  </r>
  <r>
    <x v="13"/>
    <x v="2"/>
    <x v="9"/>
    <x v="8"/>
  </r>
  <r>
    <x v="14"/>
    <x v="2"/>
    <x v="2"/>
    <x v="3"/>
  </r>
  <r>
    <x v="15"/>
    <x v="2"/>
    <x v="7"/>
    <x v="7"/>
  </r>
  <r>
    <x v="16"/>
    <x v="3"/>
    <x v="4"/>
    <x v="5"/>
  </r>
  <r>
    <x v="17"/>
    <x v="3"/>
    <x v="8"/>
    <x v="9"/>
  </r>
  <r>
    <x v="18"/>
    <x v="3"/>
    <x v="10"/>
    <x v="10"/>
  </r>
  <r>
    <x v="19"/>
    <x v="3"/>
    <x v="10"/>
    <x v="10"/>
  </r>
  <r>
    <x v="20"/>
    <x v="3"/>
    <x v="1"/>
    <x v="1"/>
  </r>
  <r>
    <x v="21"/>
    <x v="3"/>
    <x v="6"/>
    <x v="6"/>
  </r>
</pivotCacheRecords>
</file>

<file path=xl/pivotCache/pivotCacheRecords3.xml><?xml version="1.0" encoding="utf-8"?>
<pivotCacheRecords xmlns:r="http://schemas.openxmlformats.org/officeDocument/2006/relationships" xmlns="http://schemas.openxmlformats.org/spreadsheetml/2006/main" count="8">
  <r>
    <x v="0"/>
    <x v="0"/>
    <x v="0"/>
    <x v="0"/>
    <x v="0"/>
    <x v="0"/>
  </r>
  <r>
    <x v="1"/>
    <x v="1"/>
    <x v="1"/>
    <x v="1"/>
    <x v="1"/>
    <x v="1"/>
  </r>
  <r>
    <x v="2"/>
    <x v="0"/>
    <x v="2"/>
    <x v="2"/>
    <x v="2"/>
    <x v="2"/>
  </r>
  <r>
    <x v="3"/>
    <x v="2"/>
    <x v="3"/>
    <x v="3"/>
    <x v="3"/>
    <x v="3"/>
  </r>
  <r>
    <x v="4"/>
    <x v="3"/>
    <x v="4"/>
    <x v="3"/>
    <x v="4"/>
    <x v="1"/>
  </r>
  <r>
    <x v="5"/>
    <x v="3"/>
    <x v="5"/>
    <x v="4"/>
    <x v="5"/>
    <x v="2"/>
  </r>
  <r>
    <x v="6"/>
    <x v="4"/>
    <x v="6"/>
    <x v="3"/>
    <x v="6"/>
    <x v="4"/>
  </r>
  <r>
    <x v="7"/>
    <x v="3"/>
    <x v="7"/>
    <x v="5"/>
    <x v="7"/>
    <x v="5"/>
  </r>
</pivotCacheRecords>
</file>

<file path=xl/pivotTables/_rels/pivotTable1.xml.rels>&#65279;<?xml version="1.0" encoding="utf-8"?><Relationships xmlns="http://schemas.openxmlformats.org/package/2006/relationships"><Relationship Id="rId1" Type="http://schemas.openxmlformats.org/officeDocument/2006/relationships/pivotCacheDefinition" Target="../pivotCache/pivotCacheDefinition2.xml" /></Relationships>
</file>

<file path=xl/pivotTables/_rels/pivotTable2.xml.rels>&#65279;<?xml version="1.0" encoding="utf-8"?><Relationships xmlns="http://schemas.openxmlformats.org/package/2006/relationships"><Relationship Id="rId2" Type="http://schemas.openxmlformats.org/officeDocument/2006/relationships/pivotCacheDefinition" Target="../pivotCache/pivotCacheDefinition1.xml" /></Relationships>
</file>

<file path=xl/pivotTables/_rels/pivotTable3.xml.rels>&#65279;<?xml version="1.0" encoding="utf-8"?><Relationships xmlns="http://schemas.openxmlformats.org/package/2006/relationships"><Relationship Id="rId3" Type="http://schemas.openxmlformats.org/officeDocument/2006/relationships/pivotCacheDefinition" Target="../pivotCache/pivotCacheDefinition3.xml" /></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5" firstHeaderRow="1" firstDataRow="1" firstDataCol="1"/>
  <pivotFields count="4">
    <pivotField numFmtId="14" showAll="0">
      <items count="23">
        <item x="5"/>
        <item x="18"/>
        <item x="6"/>
        <item x="21"/>
        <item x="3"/>
        <item x="0"/>
        <item x="17"/>
        <item x="4"/>
        <item x="10"/>
        <item x="2"/>
        <item x="16"/>
        <item x="13"/>
        <item x="12"/>
        <item x="11"/>
        <item x="15"/>
        <item x="8"/>
        <item x="1"/>
        <item x="19"/>
        <item x="7"/>
        <item x="9"/>
        <item x="14"/>
        <item x="20"/>
        <item t="default"/>
      </items>
    </pivotField>
    <pivotField axis="axisRow" showAll="0">
      <items count="5">
        <item h="1" x="0"/>
        <item h="1" x="1"/>
        <item x="2"/>
        <item x="3"/>
        <item t="default"/>
      </items>
    </pivotField>
    <pivotField showAll="0">
      <items count="12">
        <item x="3"/>
        <item x="4"/>
        <item x="5"/>
        <item x="8"/>
        <item x="0"/>
        <item x="10"/>
        <item x="9"/>
        <item x="1"/>
        <item x="6"/>
        <item x="2"/>
        <item x="7"/>
        <item t="default"/>
      </items>
    </pivotField>
    <pivotField dataField="1" showAll="0">
      <items count="12">
        <item x="9"/>
        <item x="5"/>
        <item x="8"/>
        <item x="6"/>
        <item x="10"/>
        <item x="3"/>
        <item x="0"/>
        <item x="4"/>
        <item x="1"/>
        <item x="2"/>
        <item x="7"/>
        <item t="default"/>
      </items>
    </pivotField>
  </pivotFields>
  <rowFields count="1">
    <field x="1"/>
  </rowFields>
  <rowItems count="3">
    <i>
      <x v="2"/>
    </i>
    <i>
      <x v="3"/>
    </i>
    <i t="grand">
      <x/>
    </i>
  </rowItems>
  <colItems count="1">
    <i/>
  </colItem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s">
  <location ref="A3:B36" firstHeaderRow="1" firstDataRow="1" firstDataCol="1"/>
  <pivotFields count="4">
    <pivotField axis="axisRow" subtotalTop="0" showAll="0" insertBlankRow="1">
      <items count="16">
        <item x="5"/>
        <item x="10"/>
        <item x="0"/>
        <item x="13"/>
        <item x="14"/>
        <item x="12"/>
        <item x="2"/>
        <item x="6"/>
        <item x="3"/>
        <item x="1"/>
        <item x="7"/>
        <item x="8"/>
        <item x="11"/>
        <item x="4"/>
        <item x="9"/>
        <item t="default"/>
      </items>
    </pivotField>
    <pivotField dataField="1" numFmtId="165" subtotalTop="0" showAll="0" insertBlankRow="1">
      <items count="18">
        <item x="0"/>
        <item x="1"/>
        <item x="2"/>
        <item x="3"/>
        <item x="4"/>
        <item x="5"/>
        <item x="6"/>
        <item x="7"/>
        <item x="8"/>
        <item x="9"/>
        <item x="10"/>
        <item x="11"/>
        <item x="12"/>
        <item x="13"/>
        <item x="14"/>
        <item x="15"/>
        <item x="16"/>
        <item t="default"/>
      </items>
    </pivotField>
    <pivotField numFmtId="14" subtotalTop="0" showAll="0" insertBlankRow="1">
      <items count="19">
        <item x="4"/>
        <item x="17"/>
        <item x="1"/>
        <item x="15"/>
        <item x="9"/>
        <item x="13"/>
        <item x="11"/>
        <item x="2"/>
        <item x="7"/>
        <item x="5"/>
        <item x="0"/>
        <item x="3"/>
        <item x="6"/>
        <item x="14"/>
        <item x="8"/>
        <item x="10"/>
        <item x="12"/>
        <item x="16"/>
        <item t="default"/>
      </items>
    </pivotField>
    <pivotField axis="axisRow" subtotalTop="0" showAll="0" insertBlankRow="1">
      <items count="5">
        <item x="1"/>
        <item x="3"/>
        <item x="0"/>
        <item x="2"/>
        <item t="default"/>
      </items>
    </pivotField>
  </pivotFields>
  <rowFields count="2">
    <field x="3"/>
    <field x="0"/>
  </rowFields>
  <rowItems count="33">
    <i>
      <x/>
    </i>
    <i r="1">
      <x v="2"/>
    </i>
    <i r="1">
      <x v="6"/>
    </i>
    <i r="1">
      <x v="8"/>
    </i>
    <i r="1">
      <x v="9"/>
    </i>
    <i t="default">
      <x/>
    </i>
    <i t="blank">
      <x/>
    </i>
    <i>
      <x v="1"/>
    </i>
    <i r="1">
      <x/>
    </i>
    <i r="1">
      <x v="7"/>
    </i>
    <i r="1">
      <x v="10"/>
    </i>
    <i r="1">
      <x v="13"/>
    </i>
    <i r="1">
      <x v="14"/>
    </i>
    <i t="default">
      <x v="1"/>
    </i>
    <i t="blank">
      <x v="1"/>
    </i>
    <i>
      <x v="2"/>
    </i>
    <i r="1">
      <x v="1"/>
    </i>
    <i r="1">
      <x v="2"/>
    </i>
    <i r="1">
      <x v="5"/>
    </i>
    <i r="1">
      <x v="6"/>
    </i>
    <i r="1">
      <x v="12"/>
    </i>
    <i t="default">
      <x v="2"/>
    </i>
    <i t="blank">
      <x v="2"/>
    </i>
    <i>
      <x v="3"/>
    </i>
    <i r="1">
      <x v="3"/>
    </i>
    <i r="1">
      <x v="4"/>
    </i>
    <i r="1">
      <x v="10"/>
    </i>
    <i r="1">
      <x v="11"/>
    </i>
    <i r="1">
      <x v="13"/>
    </i>
    <i r="1">
      <x v="14"/>
    </i>
    <i t="default">
      <x v="3"/>
    </i>
    <i t="blank">
      <x v="3"/>
    </i>
    <i t="grand">
      <x/>
    </i>
  </rowItems>
  <colItems count="1">
    <i/>
  </colItems>
  <dataFields count="1">
    <dataField name="Sum of Prices" fld="1" baseField="0" baseItem="0" numFmtId="165"/>
  </dataFields>
  <formats count="26">
    <format dxfId="11">
      <pivotArea type="all" dataOnly="0" outline="0" fieldPosition="0"/>
    </format>
    <format dxfId="11">
      <pivotArea outline="0" collapsedLevelsAreSubtotals="1" fieldPosition="0"/>
    </format>
    <format dxfId="11">
      <pivotArea field="3" type="button" dataOnly="0" labelOnly="1" outline="0" axis="axisRow" fieldPosition="0"/>
    </format>
    <format dxfId="11">
      <pivotArea dataOnly="0" labelOnly="1" fieldPosition="0">
        <references count="1">
          <reference field="3" count="0"/>
        </references>
      </pivotArea>
    </format>
    <format dxfId="11">
      <pivotArea dataOnly="0" labelOnly="1" grandRow="1" outline="0" fieldPosition="0"/>
    </format>
    <format dxfId="11">
      <pivotArea dataOnly="0" labelOnly="1" outline="0" axis="axisValues" fieldPosition="0"/>
    </format>
    <format dxfId="12">
      <pivotArea type="all" dataOnly="0" outline="0" fieldPosition="0"/>
    </format>
    <format dxfId="12">
      <pivotArea outline="0" collapsedLevelsAreSubtotals="1" fieldPosition="0"/>
    </format>
    <format dxfId="12">
      <pivotArea field="3" type="button" dataOnly="0" labelOnly="1" outline="0" axis="axisRow" fieldPosition="0"/>
    </format>
    <format dxfId="12">
      <pivotArea dataOnly="0" labelOnly="1" fieldPosition="0">
        <references count="1">
          <reference field="3" count="0"/>
        </references>
      </pivotArea>
    </format>
    <format dxfId="12">
      <pivotArea dataOnly="0" labelOnly="1" grandRow="1" outline="0" fieldPosition="0"/>
    </format>
    <format dxfId="12">
      <pivotArea dataOnly="0" labelOnly="1" outline="0" axis="axisValues" fieldPosition="0"/>
    </format>
    <format dxfId="13">
      <pivotArea type="all" dataOnly="0" outline="0" fieldPosition="0"/>
    </format>
    <format dxfId="13">
      <pivotArea outline="0" collapsedLevelsAreSubtotals="1" fieldPosition="0"/>
    </format>
    <format dxfId="13">
      <pivotArea field="3" type="button" dataOnly="0" labelOnly="1" outline="0" axis="axisRow" fieldPosition="0"/>
    </format>
    <format dxfId="13">
      <pivotArea dataOnly="0" labelOnly="1" fieldPosition="0">
        <references count="1">
          <reference field="3" count="0"/>
        </references>
      </pivotArea>
    </format>
    <format dxfId="13">
      <pivotArea dataOnly="0" labelOnly="1" fieldPosition="0">
        <references count="1">
          <reference field="3" count="2" defaultSubtotal="1">
            <x v="0"/>
            <x v="2"/>
          </reference>
        </references>
      </pivotArea>
    </format>
    <format dxfId="13">
      <pivotArea dataOnly="0" labelOnly="1" grandRow="1" outline="0" fieldPosition="0"/>
    </format>
    <format dxfId="13">
      <pivotArea dataOnly="0" labelOnly="1" outline="0" axis="axisValues" fieldPosition="0"/>
    </format>
    <format dxfId="14">
      <pivotArea type="all" dataOnly="0" outline="0" fieldPosition="0"/>
    </format>
    <format dxfId="14">
      <pivotArea outline="0" collapsedLevelsAreSubtotals="1" fieldPosition="0"/>
    </format>
    <format dxfId="14">
      <pivotArea dataOnly="0" labelOnly="1" fieldPosition="0">
        <references count="1">
          <reference field="3" count="0"/>
        </references>
      </pivotArea>
    </format>
    <format dxfId="14">
      <pivotArea dataOnly="0" labelOnly="1" fieldPosition="0">
        <references count="1">
          <reference field="3" count="2" defaultSubtotal="1">
            <x v="0"/>
            <x v="2"/>
          </reference>
        </references>
      </pivotArea>
    </format>
    <format dxfId="14">
      <pivotArea dataOnly="0" labelOnly="1" grandRow="1" outline="0" fieldPosition="0"/>
    </format>
    <format dxfId="15">
      <pivotArea field="3" type="button" dataOnly="0" labelOnly="1" outline="0" axis="axisRow" fieldPosition="0"/>
    </format>
    <format dxfId="15">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2:N4" firstHeaderRow="0" firstDataRow="1" firstDataCol="1"/>
  <pivotFields count="6">
    <pivotField axis="axisRow" showAll="0">
      <items count="9">
        <item h="1" x="3"/>
        <item h="1" x="7"/>
        <item h="1" x="4"/>
        <item x="0"/>
        <item h="1" x="6"/>
        <item h="1" x="5"/>
        <item h="1" x="1"/>
        <item h="1" x="2"/>
        <item t="default"/>
      </items>
    </pivotField>
    <pivotField dataField="1" showAll="0">
      <items count="6">
        <item x="1"/>
        <item x="0"/>
        <item x="2"/>
        <item x="3"/>
        <item x="4"/>
        <item t="default"/>
      </items>
    </pivotField>
    <pivotField dataField="1" showAll="0">
      <items count="9">
        <item x="6"/>
        <item x="5"/>
        <item x="1"/>
        <item x="0"/>
        <item x="3"/>
        <item x="7"/>
        <item x="2"/>
        <item x="4"/>
        <item t="default"/>
      </items>
    </pivotField>
    <pivotField dataField="1" showAll="0">
      <items count="7">
        <item x="1"/>
        <item x="3"/>
        <item x="5"/>
        <item x="0"/>
        <item x="4"/>
        <item x="2"/>
        <item t="default"/>
      </items>
    </pivotField>
    <pivotField dataField="1" showAll="0">
      <items count="9">
        <item x="3"/>
        <item x="7"/>
        <item x="5"/>
        <item x="0"/>
        <item x="4"/>
        <item x="2"/>
        <item x="6"/>
        <item x="1"/>
        <item t="default"/>
      </items>
    </pivotField>
    <pivotField dataField="1" showAll="0">
      <items count="7">
        <item x="2"/>
        <item x="4"/>
        <item x="5"/>
        <item x="1"/>
        <item x="3"/>
        <item x="0"/>
        <item t="default"/>
      </items>
    </pivotField>
  </pivotFields>
  <rowFields count="1">
    <field x="0"/>
  </rowFields>
  <rowItems count="2">
    <i>
      <x v="3"/>
    </i>
    <i t="grand">
      <x/>
    </i>
  </rowItems>
  <colFields count="1">
    <field x="-2"/>
  </colFields>
  <colItems count="5">
    <i>
      <x/>
    </i>
    <i i="1">
      <x v="1"/>
    </i>
    <i i="2">
      <x v="2"/>
    </i>
    <i i="3">
      <x v="3"/>
    </i>
    <i i="4">
      <x v="4"/>
    </i>
  </colItems>
  <dataFields count="5">
    <dataField name="Sum of 2012" fld="1" baseField="0" baseItem="0"/>
    <dataField name="Sum of 2013" fld="2" baseField="0" baseItem="0"/>
    <dataField name="Sum of 2014" fld="3" baseField="0" baseItem="0"/>
    <dataField name="Sum of 2015" fld="4" baseField="0" baseItem="0"/>
    <dataField name="Sum of 2016" fld="5" baseField="0" baseItem="0"/>
  </dataFields>
  <formats count="6">
    <format dxfId="12">
      <pivotArea type="all" dataOnly="0" outline="0" fieldPosition="0"/>
    </format>
    <format dxfId="12">
      <pivotArea outline="0" collapsedLevelsAreSubtotals="1" fieldPosition="0"/>
    </format>
    <format dxfId="12">
      <pivotArea field="0" type="button" dataOnly="0" labelOnly="1" outline="0" axis="axisRow" fieldPosition="0"/>
    </format>
    <format dxfId="12">
      <pivotArea dataOnly="0" labelOnly="1" fieldPosition="0">
        <references count="1">
          <reference field="0" count="0"/>
        </references>
      </pivotArea>
    </format>
    <format dxfId="12">
      <pivotArea dataOnly="0" labelOnly="1" grandRow="1" outline="0" fieldPosition="0"/>
    </format>
    <format dxfId="12">
      <pivotArea dataOnly="0" labelOnly="1" outline="0" fieldPosition="0">
        <references count="1">
          <reference field="4294967294" count="5">
            <x v="0"/>
            <x v="1"/>
            <x v="2"/>
            <x v="3"/>
            <x v="4"/>
          </reference>
        </references>
      </pivotArea>
    </format>
  </formats>
  <chartFormats count="115">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7" format="7">
      <pivotArea type="data" outline="0" fieldPosition="0">
        <references count="2">
          <reference field="4294967294" count="1" selected="0">
            <x v="0"/>
          </reference>
          <reference field="0" count="1" selected="0">
            <x v="2"/>
          </reference>
        </references>
      </pivotArea>
    </chartFormat>
    <chartFormat chart="7" format="8">
      <pivotArea type="data" outline="0" fieldPosition="0">
        <references count="2">
          <reference field="4294967294" count="1" selected="0">
            <x v="0"/>
          </reference>
          <reference field="0" count="1" selected="0">
            <x v="3"/>
          </reference>
        </references>
      </pivotArea>
    </chartFormat>
    <chartFormat chart="7" format="9">
      <pivotArea type="data" outline="0" fieldPosition="0">
        <references count="2">
          <reference field="4294967294" count="1" selected="0">
            <x v="0"/>
          </reference>
          <reference field="0" count="1" selected="0">
            <x v="4"/>
          </reference>
        </references>
      </pivotArea>
    </chartFormat>
    <chartFormat chart="7" format="10">
      <pivotArea type="data" outline="0" fieldPosition="0">
        <references count="2">
          <reference field="4294967294" count="1" selected="0">
            <x v="0"/>
          </reference>
          <reference field="0" count="1" selected="0">
            <x v="5"/>
          </reference>
        </references>
      </pivotArea>
    </chartFormat>
    <chartFormat chart="7" format="11">
      <pivotArea type="data" outline="0" fieldPosition="0">
        <references count="2">
          <reference field="4294967294" count="1" selected="0">
            <x v="0"/>
          </reference>
          <reference field="0" count="1" selected="0">
            <x v="6"/>
          </reference>
        </references>
      </pivotArea>
    </chartFormat>
    <chartFormat chart="7" format="12">
      <pivotArea type="data" outline="0" fieldPosition="0">
        <references count="2">
          <reference field="4294967294" count="1" selected="0">
            <x v="0"/>
          </reference>
          <reference field="0" count="1" selected="0">
            <x v="7"/>
          </reference>
        </references>
      </pivotArea>
    </chartFormat>
    <chartFormat chart="7" format="13">
      <pivotArea type="data" outline="0" fieldPosition="0">
        <references count="2">
          <reference field="4294967294" count="1" selected="0">
            <x v="1"/>
          </reference>
          <reference field="0" count="1" selected="0">
            <x v="0"/>
          </reference>
        </references>
      </pivotArea>
    </chartFormat>
    <chartFormat chart="7" format="14">
      <pivotArea type="data" outline="0" fieldPosition="0">
        <references count="2">
          <reference field="4294967294" count="1" selected="0">
            <x v="1"/>
          </reference>
          <reference field="0" count="1" selected="0">
            <x v="1"/>
          </reference>
        </references>
      </pivotArea>
    </chartFormat>
    <chartFormat chart="7" format="15">
      <pivotArea type="data" outline="0" fieldPosition="0">
        <references count="2">
          <reference field="4294967294" count="1" selected="0">
            <x v="1"/>
          </reference>
          <reference field="0" count="1" selected="0">
            <x v="2"/>
          </reference>
        </references>
      </pivotArea>
    </chartFormat>
    <chartFormat chart="7" format="16">
      <pivotArea type="data" outline="0" fieldPosition="0">
        <references count="2">
          <reference field="4294967294" count="1" selected="0">
            <x v="1"/>
          </reference>
          <reference field="0" count="1" selected="0">
            <x v="3"/>
          </reference>
        </references>
      </pivotArea>
    </chartFormat>
    <chartFormat chart="7" format="17">
      <pivotArea type="data" outline="0" fieldPosition="0">
        <references count="2">
          <reference field="4294967294" count="1" selected="0">
            <x v="1"/>
          </reference>
          <reference field="0" count="1" selected="0">
            <x v="4"/>
          </reference>
        </references>
      </pivotArea>
    </chartFormat>
    <chartFormat chart="7" format="18">
      <pivotArea type="data" outline="0" fieldPosition="0">
        <references count="2">
          <reference field="4294967294" count="1" selected="0">
            <x v="1"/>
          </reference>
          <reference field="0" count="1" selected="0">
            <x v="5"/>
          </reference>
        </references>
      </pivotArea>
    </chartFormat>
    <chartFormat chart="7" format="19">
      <pivotArea type="data" outline="0" fieldPosition="0">
        <references count="2">
          <reference field="4294967294" count="1" selected="0">
            <x v="1"/>
          </reference>
          <reference field="0" count="1" selected="0">
            <x v="6"/>
          </reference>
        </references>
      </pivotArea>
    </chartFormat>
    <chartFormat chart="7" format="20">
      <pivotArea type="data" outline="0" fieldPosition="0">
        <references count="2">
          <reference field="4294967294" count="1" selected="0">
            <x v="1"/>
          </reference>
          <reference field="0" count="1" selected="0">
            <x v="7"/>
          </reference>
        </references>
      </pivotArea>
    </chartFormat>
    <chartFormat chart="7" format="21">
      <pivotArea type="data" outline="0" fieldPosition="0">
        <references count="2">
          <reference field="4294967294" count="1" selected="0">
            <x v="2"/>
          </reference>
          <reference field="0" count="1" selected="0">
            <x v="0"/>
          </reference>
        </references>
      </pivotArea>
    </chartFormat>
    <chartFormat chart="7" format="22">
      <pivotArea type="data" outline="0" fieldPosition="0">
        <references count="2">
          <reference field="4294967294" count="1" selected="0">
            <x v="2"/>
          </reference>
          <reference field="0" count="1" selected="0">
            <x v="1"/>
          </reference>
        </references>
      </pivotArea>
    </chartFormat>
    <chartFormat chart="7" format="23">
      <pivotArea type="data" outline="0" fieldPosition="0">
        <references count="2">
          <reference field="4294967294" count="1" selected="0">
            <x v="2"/>
          </reference>
          <reference field="0" count="1" selected="0">
            <x v="2"/>
          </reference>
        </references>
      </pivotArea>
    </chartFormat>
    <chartFormat chart="7" format="24">
      <pivotArea type="data" outline="0" fieldPosition="0">
        <references count="2">
          <reference field="4294967294" count="1" selected="0">
            <x v="2"/>
          </reference>
          <reference field="0" count="1" selected="0">
            <x v="3"/>
          </reference>
        </references>
      </pivotArea>
    </chartFormat>
    <chartFormat chart="7" format="25">
      <pivotArea type="data" outline="0" fieldPosition="0">
        <references count="2">
          <reference field="4294967294" count="1" selected="0">
            <x v="2"/>
          </reference>
          <reference field="0" count="1" selected="0">
            <x v="4"/>
          </reference>
        </references>
      </pivotArea>
    </chartFormat>
    <chartFormat chart="7" format="26">
      <pivotArea type="data" outline="0" fieldPosition="0">
        <references count="2">
          <reference field="4294967294" count="1" selected="0">
            <x v="2"/>
          </reference>
          <reference field="0" count="1" selected="0">
            <x v="5"/>
          </reference>
        </references>
      </pivotArea>
    </chartFormat>
    <chartFormat chart="7" format="27">
      <pivotArea type="data" outline="0" fieldPosition="0">
        <references count="2">
          <reference field="4294967294" count="1" selected="0">
            <x v="2"/>
          </reference>
          <reference field="0" count="1" selected="0">
            <x v="6"/>
          </reference>
        </references>
      </pivotArea>
    </chartFormat>
    <chartFormat chart="7" format="28">
      <pivotArea type="data" outline="0" fieldPosition="0">
        <references count="2">
          <reference field="4294967294" count="1" selected="0">
            <x v="2"/>
          </reference>
          <reference field="0" count="1" selected="0">
            <x v="7"/>
          </reference>
        </references>
      </pivotArea>
    </chartFormat>
    <chartFormat chart="7" format="29">
      <pivotArea type="data" outline="0" fieldPosition="0">
        <references count="2">
          <reference field="4294967294" count="1" selected="0">
            <x v="3"/>
          </reference>
          <reference field="0" count="1" selected="0">
            <x v="0"/>
          </reference>
        </references>
      </pivotArea>
    </chartFormat>
    <chartFormat chart="7" format="30">
      <pivotArea type="data" outline="0" fieldPosition="0">
        <references count="2">
          <reference field="4294967294" count="1" selected="0">
            <x v="3"/>
          </reference>
          <reference field="0" count="1" selected="0">
            <x v="1"/>
          </reference>
        </references>
      </pivotArea>
    </chartFormat>
    <chartFormat chart="7" format="31">
      <pivotArea type="data" outline="0" fieldPosition="0">
        <references count="2">
          <reference field="4294967294" count="1" selected="0">
            <x v="3"/>
          </reference>
          <reference field="0" count="1" selected="0">
            <x v="2"/>
          </reference>
        </references>
      </pivotArea>
    </chartFormat>
    <chartFormat chart="7" format="32">
      <pivotArea type="data" outline="0" fieldPosition="0">
        <references count="2">
          <reference field="4294967294" count="1" selected="0">
            <x v="3"/>
          </reference>
          <reference field="0" count="1" selected="0">
            <x v="3"/>
          </reference>
        </references>
      </pivotArea>
    </chartFormat>
    <chartFormat chart="7" format="33">
      <pivotArea type="data" outline="0" fieldPosition="0">
        <references count="2">
          <reference field="4294967294" count="1" selected="0">
            <x v="3"/>
          </reference>
          <reference field="0" count="1" selected="0">
            <x v="4"/>
          </reference>
        </references>
      </pivotArea>
    </chartFormat>
    <chartFormat chart="7" format="34">
      <pivotArea type="data" outline="0" fieldPosition="0">
        <references count="2">
          <reference field="4294967294" count="1" selected="0">
            <x v="3"/>
          </reference>
          <reference field="0" count="1" selected="0">
            <x v="5"/>
          </reference>
        </references>
      </pivotArea>
    </chartFormat>
    <chartFormat chart="7" format="35">
      <pivotArea type="data" outline="0" fieldPosition="0">
        <references count="2">
          <reference field="4294967294" count="1" selected="0">
            <x v="3"/>
          </reference>
          <reference field="0" count="1" selected="0">
            <x v="6"/>
          </reference>
        </references>
      </pivotArea>
    </chartFormat>
    <chartFormat chart="7" format="36">
      <pivotArea type="data" outline="0" fieldPosition="0">
        <references count="2">
          <reference field="4294967294" count="1" selected="0">
            <x v="3"/>
          </reference>
          <reference field="0" count="1" selected="0">
            <x v="7"/>
          </reference>
        </references>
      </pivotArea>
    </chartFormat>
    <chartFormat chart="7" format="37">
      <pivotArea type="data" outline="0" fieldPosition="0">
        <references count="2">
          <reference field="4294967294" count="1" selected="0">
            <x v="4"/>
          </reference>
          <reference field="0" count="1" selected="0">
            <x v="0"/>
          </reference>
        </references>
      </pivotArea>
    </chartFormat>
    <chartFormat chart="7" format="38">
      <pivotArea type="data" outline="0" fieldPosition="0">
        <references count="2">
          <reference field="4294967294" count="1" selected="0">
            <x v="4"/>
          </reference>
          <reference field="0" count="1" selected="0">
            <x v="1"/>
          </reference>
        </references>
      </pivotArea>
    </chartFormat>
    <chartFormat chart="7" format="39">
      <pivotArea type="data" outline="0" fieldPosition="0">
        <references count="2">
          <reference field="4294967294" count="1" selected="0">
            <x v="4"/>
          </reference>
          <reference field="0" count="1" selected="0">
            <x v="2"/>
          </reference>
        </references>
      </pivotArea>
    </chartFormat>
    <chartFormat chart="7" format="40">
      <pivotArea type="data" outline="0" fieldPosition="0">
        <references count="2">
          <reference field="4294967294" count="1" selected="0">
            <x v="4"/>
          </reference>
          <reference field="0" count="1" selected="0">
            <x v="3"/>
          </reference>
        </references>
      </pivotArea>
    </chartFormat>
    <chartFormat chart="7" format="41">
      <pivotArea type="data" outline="0" fieldPosition="0">
        <references count="2">
          <reference field="4294967294" count="1" selected="0">
            <x v="4"/>
          </reference>
          <reference field="0" count="1" selected="0">
            <x v="4"/>
          </reference>
        </references>
      </pivotArea>
    </chartFormat>
    <chartFormat chart="7" format="42">
      <pivotArea type="data" outline="0" fieldPosition="0">
        <references count="2">
          <reference field="4294967294" count="1" selected="0">
            <x v="4"/>
          </reference>
          <reference field="0" count="1" selected="0">
            <x v="5"/>
          </reference>
        </references>
      </pivotArea>
    </chartFormat>
    <chartFormat chart="7" format="43">
      <pivotArea type="data" outline="0" fieldPosition="0">
        <references count="2">
          <reference field="4294967294" count="1" selected="0">
            <x v="4"/>
          </reference>
          <reference field="0" count="1" selected="0">
            <x v="6"/>
          </reference>
        </references>
      </pivotArea>
    </chartFormat>
    <chartFormat chart="7" format="44">
      <pivotArea type="data" outline="0" fieldPosition="0">
        <references count="2">
          <reference field="4294967294" count="1" selected="0">
            <x v="4"/>
          </reference>
          <reference field="0" count="1" selected="0">
            <x v="7"/>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4"/>
          </reference>
        </references>
      </pivotArea>
    </chartFormat>
    <chartFormat chart="15" format="10"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2"/>
          </reference>
        </references>
      </pivotArea>
    </chartFormat>
    <chartFormat chart="15" format="13" series="1">
      <pivotArea type="data" outline="0" fieldPosition="0">
        <references count="1">
          <reference field="4294967294" count="1" selected="0">
            <x v="3"/>
          </reference>
        </references>
      </pivotArea>
    </chartFormat>
    <chartFormat chart="15" format="14" series="1">
      <pivotArea type="data" outline="0" fieldPosition="0">
        <references count="1">
          <reference field="4294967294" count="1" selected="0">
            <x v="4"/>
          </reference>
        </references>
      </pivotArea>
    </chartFormat>
    <chartFormat chart="17" format="90" series="1">
      <pivotArea type="data" outline="0" fieldPosition="0">
        <references count="1">
          <reference field="4294967294" count="1" selected="0">
            <x v="0"/>
          </reference>
        </references>
      </pivotArea>
    </chartFormat>
    <chartFormat chart="17" format="91">
      <pivotArea type="data" outline="0" fieldPosition="0">
        <references count="2">
          <reference field="4294967294" count="1" selected="0">
            <x v="0"/>
          </reference>
          <reference field="0" count="1" selected="0">
            <x v="0"/>
          </reference>
        </references>
      </pivotArea>
    </chartFormat>
    <chartFormat chart="17" format="92">
      <pivotArea type="data" outline="0" fieldPosition="0">
        <references count="2">
          <reference field="4294967294" count="1" selected="0">
            <x v="0"/>
          </reference>
          <reference field="0" count="1" selected="0">
            <x v="1"/>
          </reference>
        </references>
      </pivotArea>
    </chartFormat>
    <chartFormat chart="17" format="93">
      <pivotArea type="data" outline="0" fieldPosition="0">
        <references count="2">
          <reference field="4294967294" count="1" selected="0">
            <x v="0"/>
          </reference>
          <reference field="0" count="1" selected="0">
            <x v="2"/>
          </reference>
        </references>
      </pivotArea>
    </chartFormat>
    <chartFormat chart="17" format="94">
      <pivotArea type="data" outline="0" fieldPosition="0">
        <references count="2">
          <reference field="4294967294" count="1" selected="0">
            <x v="0"/>
          </reference>
          <reference field="0" count="1" selected="0">
            <x v="3"/>
          </reference>
        </references>
      </pivotArea>
    </chartFormat>
    <chartFormat chart="17" format="95">
      <pivotArea type="data" outline="0" fieldPosition="0">
        <references count="2">
          <reference field="4294967294" count="1" selected="0">
            <x v="0"/>
          </reference>
          <reference field="0" count="1" selected="0">
            <x v="4"/>
          </reference>
        </references>
      </pivotArea>
    </chartFormat>
    <chartFormat chart="17" format="96">
      <pivotArea type="data" outline="0" fieldPosition="0">
        <references count="2">
          <reference field="4294967294" count="1" selected="0">
            <x v="0"/>
          </reference>
          <reference field="0" count="1" selected="0">
            <x v="5"/>
          </reference>
        </references>
      </pivotArea>
    </chartFormat>
    <chartFormat chart="17" format="97">
      <pivotArea type="data" outline="0" fieldPosition="0">
        <references count="2">
          <reference field="4294967294" count="1" selected="0">
            <x v="0"/>
          </reference>
          <reference field="0" count="1" selected="0">
            <x v="6"/>
          </reference>
        </references>
      </pivotArea>
    </chartFormat>
    <chartFormat chart="17" format="98">
      <pivotArea type="data" outline="0" fieldPosition="0">
        <references count="2">
          <reference field="4294967294" count="1" selected="0">
            <x v="0"/>
          </reference>
          <reference field="0" count="1" selected="0">
            <x v="7"/>
          </reference>
        </references>
      </pivotArea>
    </chartFormat>
    <chartFormat chart="17" format="99" series="1">
      <pivotArea type="data" outline="0" fieldPosition="0">
        <references count="1">
          <reference field="4294967294" count="1" selected="0">
            <x v="1"/>
          </reference>
        </references>
      </pivotArea>
    </chartFormat>
    <chartFormat chart="17" format="100">
      <pivotArea type="data" outline="0" fieldPosition="0">
        <references count="2">
          <reference field="4294967294" count="1" selected="0">
            <x v="1"/>
          </reference>
          <reference field="0" count="1" selected="0">
            <x v="0"/>
          </reference>
        </references>
      </pivotArea>
    </chartFormat>
    <chartFormat chart="17" format="101">
      <pivotArea type="data" outline="0" fieldPosition="0">
        <references count="2">
          <reference field="4294967294" count="1" selected="0">
            <x v="1"/>
          </reference>
          <reference field="0" count="1" selected="0">
            <x v="1"/>
          </reference>
        </references>
      </pivotArea>
    </chartFormat>
    <chartFormat chart="17" format="102">
      <pivotArea type="data" outline="0" fieldPosition="0">
        <references count="2">
          <reference field="4294967294" count="1" selected="0">
            <x v="1"/>
          </reference>
          <reference field="0" count="1" selected="0">
            <x v="2"/>
          </reference>
        </references>
      </pivotArea>
    </chartFormat>
    <chartFormat chart="17" format="103">
      <pivotArea type="data" outline="0" fieldPosition="0">
        <references count="2">
          <reference field="4294967294" count="1" selected="0">
            <x v="1"/>
          </reference>
          <reference field="0" count="1" selected="0">
            <x v="3"/>
          </reference>
        </references>
      </pivotArea>
    </chartFormat>
    <chartFormat chart="17" format="104">
      <pivotArea type="data" outline="0" fieldPosition="0">
        <references count="2">
          <reference field="4294967294" count="1" selected="0">
            <x v="1"/>
          </reference>
          <reference field="0" count="1" selected="0">
            <x v="4"/>
          </reference>
        </references>
      </pivotArea>
    </chartFormat>
    <chartFormat chart="17" format="105">
      <pivotArea type="data" outline="0" fieldPosition="0">
        <references count="2">
          <reference field="4294967294" count="1" selected="0">
            <x v="1"/>
          </reference>
          <reference field="0" count="1" selected="0">
            <x v="5"/>
          </reference>
        </references>
      </pivotArea>
    </chartFormat>
    <chartFormat chart="17" format="106">
      <pivotArea type="data" outline="0" fieldPosition="0">
        <references count="2">
          <reference field="4294967294" count="1" selected="0">
            <x v="1"/>
          </reference>
          <reference field="0" count="1" selected="0">
            <x v="6"/>
          </reference>
        </references>
      </pivotArea>
    </chartFormat>
    <chartFormat chart="17" format="107">
      <pivotArea type="data" outline="0" fieldPosition="0">
        <references count="2">
          <reference field="4294967294" count="1" selected="0">
            <x v="1"/>
          </reference>
          <reference field="0" count="1" selected="0">
            <x v="7"/>
          </reference>
        </references>
      </pivotArea>
    </chartFormat>
    <chartFormat chart="17" format="108" series="1">
      <pivotArea type="data" outline="0" fieldPosition="0">
        <references count="1">
          <reference field="4294967294" count="1" selected="0">
            <x v="2"/>
          </reference>
        </references>
      </pivotArea>
    </chartFormat>
    <chartFormat chart="17" format="109">
      <pivotArea type="data" outline="0" fieldPosition="0">
        <references count="2">
          <reference field="4294967294" count="1" selected="0">
            <x v="2"/>
          </reference>
          <reference field="0" count="1" selected="0">
            <x v="0"/>
          </reference>
        </references>
      </pivotArea>
    </chartFormat>
    <chartFormat chart="17" format="110">
      <pivotArea type="data" outline="0" fieldPosition="0">
        <references count="2">
          <reference field="4294967294" count="1" selected="0">
            <x v="2"/>
          </reference>
          <reference field="0" count="1" selected="0">
            <x v="1"/>
          </reference>
        </references>
      </pivotArea>
    </chartFormat>
    <chartFormat chart="17" format="111">
      <pivotArea type="data" outline="0" fieldPosition="0">
        <references count="2">
          <reference field="4294967294" count="1" selected="0">
            <x v="2"/>
          </reference>
          <reference field="0" count="1" selected="0">
            <x v="2"/>
          </reference>
        </references>
      </pivotArea>
    </chartFormat>
    <chartFormat chart="17" format="112">
      <pivotArea type="data" outline="0" fieldPosition="0">
        <references count="2">
          <reference field="4294967294" count="1" selected="0">
            <x v="2"/>
          </reference>
          <reference field="0" count="1" selected="0">
            <x v="3"/>
          </reference>
        </references>
      </pivotArea>
    </chartFormat>
    <chartFormat chart="17" format="113">
      <pivotArea type="data" outline="0" fieldPosition="0">
        <references count="2">
          <reference field="4294967294" count="1" selected="0">
            <x v="2"/>
          </reference>
          <reference field="0" count="1" selected="0">
            <x v="4"/>
          </reference>
        </references>
      </pivotArea>
    </chartFormat>
    <chartFormat chart="17" format="114">
      <pivotArea type="data" outline="0" fieldPosition="0">
        <references count="2">
          <reference field="4294967294" count="1" selected="0">
            <x v="2"/>
          </reference>
          <reference field="0" count="1" selected="0">
            <x v="5"/>
          </reference>
        </references>
      </pivotArea>
    </chartFormat>
    <chartFormat chart="17" format="115">
      <pivotArea type="data" outline="0" fieldPosition="0">
        <references count="2">
          <reference field="4294967294" count="1" selected="0">
            <x v="2"/>
          </reference>
          <reference field="0" count="1" selected="0">
            <x v="6"/>
          </reference>
        </references>
      </pivotArea>
    </chartFormat>
    <chartFormat chart="17" format="116">
      <pivotArea type="data" outline="0" fieldPosition="0">
        <references count="2">
          <reference field="4294967294" count="1" selected="0">
            <x v="2"/>
          </reference>
          <reference field="0" count="1" selected="0">
            <x v="7"/>
          </reference>
        </references>
      </pivotArea>
    </chartFormat>
    <chartFormat chart="17" format="117" series="1">
      <pivotArea type="data" outline="0" fieldPosition="0">
        <references count="1">
          <reference field="4294967294" count="1" selected="0">
            <x v="3"/>
          </reference>
        </references>
      </pivotArea>
    </chartFormat>
    <chartFormat chart="17" format="118">
      <pivotArea type="data" outline="0" fieldPosition="0">
        <references count="2">
          <reference field="4294967294" count="1" selected="0">
            <x v="3"/>
          </reference>
          <reference field="0" count="1" selected="0">
            <x v="0"/>
          </reference>
        </references>
      </pivotArea>
    </chartFormat>
    <chartFormat chart="17" format="119">
      <pivotArea type="data" outline="0" fieldPosition="0">
        <references count="2">
          <reference field="4294967294" count="1" selected="0">
            <x v="3"/>
          </reference>
          <reference field="0" count="1" selected="0">
            <x v="1"/>
          </reference>
        </references>
      </pivotArea>
    </chartFormat>
    <chartFormat chart="17" format="120">
      <pivotArea type="data" outline="0" fieldPosition="0">
        <references count="2">
          <reference field="4294967294" count="1" selected="0">
            <x v="3"/>
          </reference>
          <reference field="0" count="1" selected="0">
            <x v="2"/>
          </reference>
        </references>
      </pivotArea>
    </chartFormat>
    <chartFormat chart="17" format="121">
      <pivotArea type="data" outline="0" fieldPosition="0">
        <references count="2">
          <reference field="4294967294" count="1" selected="0">
            <x v="3"/>
          </reference>
          <reference field="0" count="1" selected="0">
            <x v="3"/>
          </reference>
        </references>
      </pivotArea>
    </chartFormat>
    <chartFormat chart="17" format="122">
      <pivotArea type="data" outline="0" fieldPosition="0">
        <references count="2">
          <reference field="4294967294" count="1" selected="0">
            <x v="3"/>
          </reference>
          <reference field="0" count="1" selected="0">
            <x v="4"/>
          </reference>
        </references>
      </pivotArea>
    </chartFormat>
    <chartFormat chart="17" format="123">
      <pivotArea type="data" outline="0" fieldPosition="0">
        <references count="2">
          <reference field="4294967294" count="1" selected="0">
            <x v="3"/>
          </reference>
          <reference field="0" count="1" selected="0">
            <x v="5"/>
          </reference>
        </references>
      </pivotArea>
    </chartFormat>
    <chartFormat chart="17" format="124">
      <pivotArea type="data" outline="0" fieldPosition="0">
        <references count="2">
          <reference field="4294967294" count="1" selected="0">
            <x v="3"/>
          </reference>
          <reference field="0" count="1" selected="0">
            <x v="6"/>
          </reference>
        </references>
      </pivotArea>
    </chartFormat>
    <chartFormat chart="17" format="125">
      <pivotArea type="data" outline="0" fieldPosition="0">
        <references count="2">
          <reference field="4294967294" count="1" selected="0">
            <x v="3"/>
          </reference>
          <reference field="0" count="1" selected="0">
            <x v="7"/>
          </reference>
        </references>
      </pivotArea>
    </chartFormat>
    <chartFormat chart="17" format="126" series="1">
      <pivotArea type="data" outline="0" fieldPosition="0">
        <references count="1">
          <reference field="4294967294" count="1" selected="0">
            <x v="4"/>
          </reference>
        </references>
      </pivotArea>
    </chartFormat>
    <chartFormat chart="17" format="127">
      <pivotArea type="data" outline="0" fieldPosition="0">
        <references count="2">
          <reference field="4294967294" count="1" selected="0">
            <x v="4"/>
          </reference>
          <reference field="0" count="1" selected="0">
            <x v="0"/>
          </reference>
        </references>
      </pivotArea>
    </chartFormat>
    <chartFormat chart="17" format="128">
      <pivotArea type="data" outline="0" fieldPosition="0">
        <references count="2">
          <reference field="4294967294" count="1" selected="0">
            <x v="4"/>
          </reference>
          <reference field="0" count="1" selected="0">
            <x v="1"/>
          </reference>
        </references>
      </pivotArea>
    </chartFormat>
    <chartFormat chart="17" format="129">
      <pivotArea type="data" outline="0" fieldPosition="0">
        <references count="2">
          <reference field="4294967294" count="1" selected="0">
            <x v="4"/>
          </reference>
          <reference field="0" count="1" selected="0">
            <x v="2"/>
          </reference>
        </references>
      </pivotArea>
    </chartFormat>
    <chartFormat chart="17" format="130">
      <pivotArea type="data" outline="0" fieldPosition="0">
        <references count="2">
          <reference field="4294967294" count="1" selected="0">
            <x v="4"/>
          </reference>
          <reference field="0" count="1" selected="0">
            <x v="3"/>
          </reference>
        </references>
      </pivotArea>
    </chartFormat>
    <chartFormat chart="17" format="131">
      <pivotArea type="data" outline="0" fieldPosition="0">
        <references count="2">
          <reference field="4294967294" count="1" selected="0">
            <x v="4"/>
          </reference>
          <reference field="0" count="1" selected="0">
            <x v="4"/>
          </reference>
        </references>
      </pivotArea>
    </chartFormat>
    <chartFormat chart="17" format="132">
      <pivotArea type="data" outline="0" fieldPosition="0">
        <references count="2">
          <reference field="4294967294" count="1" selected="0">
            <x v="4"/>
          </reference>
          <reference field="0" count="1" selected="0">
            <x v="5"/>
          </reference>
        </references>
      </pivotArea>
    </chartFormat>
    <chartFormat chart="17" format="133">
      <pivotArea type="data" outline="0" fieldPosition="0">
        <references count="2">
          <reference field="4294967294" count="1" selected="0">
            <x v="4"/>
          </reference>
          <reference field="0" count="1" selected="0">
            <x v="6"/>
          </reference>
        </references>
      </pivotArea>
    </chartFormat>
    <chartFormat chart="17" format="134">
      <pivotArea type="data" outline="0" fieldPosition="0">
        <references count="2">
          <reference field="4294967294" count="1" selected="0">
            <x v="4"/>
          </reference>
          <reference field="0" count="1" selected="0">
            <x v="7"/>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 chart="18" format="7" series="1">
      <pivotArea type="data" outline="0" fieldPosition="0">
        <references count="1">
          <reference field="4294967294" count="1" selected="0">
            <x v="2"/>
          </reference>
        </references>
      </pivotArea>
    </chartFormat>
    <chartFormat chart="18" format="8" series="1">
      <pivotArea type="data" outline="0" fieldPosition="0">
        <references count="1">
          <reference field="4294967294" count="1" selected="0">
            <x v="3"/>
          </reference>
        </references>
      </pivotArea>
    </chartFormat>
    <chartFormat chart="18" format="9" series="1">
      <pivotArea type="data" outline="0" fieldPosition="0">
        <references count="1">
          <reference field="4294967294" count="1" selected="0">
            <x v="4"/>
          </reference>
        </references>
      </pivotArea>
    </chartFormat>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 chart="19" format="12" series="1">
      <pivotArea type="data" outline="0" fieldPosition="0">
        <references count="1">
          <reference field="4294967294" count="1" selected="0">
            <x v="2"/>
          </reference>
        </references>
      </pivotArea>
    </chartFormat>
    <chartFormat chart="19" format="13" series="1">
      <pivotArea type="data" outline="0" fieldPosition="0">
        <references count="1">
          <reference field="4294967294" count="1" selected="0">
            <x v="3"/>
          </reference>
        </references>
      </pivotArea>
    </chartFormat>
    <chartFormat chart="19"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7">
    <queryTableFields count="6">
      <queryTableField id="1" name="TAB.Medicines" tableColumnId="1"/>
      <queryTableField id="2" name="2012" tableColumnId="2"/>
      <queryTableField id="3" name="2013" tableColumnId="3"/>
      <queryTableField id="4" name="2014" tableColumnId="4"/>
      <queryTableField id="5" name="2015" tableColumnId="5"/>
      <queryTableField id="6" name="2016" tableColumnId="6"/>
    </queryTableFields>
  </queryTableRefresh>
</queryTable>
</file>

<file path=xl/slicerCaches/slicerCache1.xml><?xml version="1.0" encoding="utf-8"?>
<slicerCacheDefinition xmlns="http://schemas.microsoft.com/office/spreadsheetml/2009/9/main" name="Slicer_TAB.Medicines" sourceName="TAB.Medicines">
  <pivotTables>
    <pivotTable tabId="55" name="PivotTable3"/>
  </pivotTables>
  <data>
    <tabular pivotCacheId="1">
      <items count="8">
        <i x="3"/>
        <i x="7"/>
        <i x="4"/>
        <i x="0" s="1"/>
        <i x="6"/>
        <i x="5"/>
        <i x="1"/>
        <i x="2"/>
      </items>
    </tabular>
  </data>
</slicerCacheDefinition>
</file>

<file path=xl/slicerCaches/slicerCache2.xml><?xml version="1.0" encoding="utf-8"?>
<slicerCacheDefinition xmlns="http://schemas.microsoft.com/office/spreadsheetml/2009/9/main" name="Slicer_Region1" sourceName="Region">
  <extLst>
    <x:ext xmlns:x15="http://schemas.microsoft.com/office/spreadsheetml/2010/11/main" xmlns:x="http://schemas.openxmlformats.org/spreadsheetml/2006/main" uri="{2F2917AC-EB37-4324-AD4E-5DD8C200BD13}">
      <x15:tableSlicerCache tableId="2" column="2"/>
    </x:ext>
  </extLst>
</slicerCacheDefinition>
</file>

<file path=xl/slicers/slicer1.xml><?xml version="1.0" encoding="utf-8"?>
<slicers xmlns="http://schemas.microsoft.com/office/spreadsheetml/2009/9/main">
  <slicer name="Region" cache="Slicer_Region1" caption="Region" style="SlicerStyleLight6" rowHeight="260350"/>
</slicers>
</file>

<file path=xl/slicers/slicer2.xml><?xml version="1.0" encoding="utf-8"?>
<slicers xmlns="http://schemas.microsoft.com/office/spreadsheetml/2009/9/main">
  <slicer name="TAB.Medicines" cache="Slicer_TAB.Medicines" caption="TAB.Medicines" rowHeight="432000"/>
</slicers>
</file>

<file path=xl/tables/_rels/table5.xml.rels>&#65279;<?xml version="1.0" encoding="utf-8"?><Relationships xmlns="http://schemas.openxmlformats.org/package/2006/relationships"><Relationship Id="rId1" Type="http://schemas.openxmlformats.org/officeDocument/2006/relationships/queryTable" Target="../queryTables/queryTable1.xml" /></Relationships>
</file>

<file path=xl/tables/table1.xml><?xml version="1.0" encoding="utf-8"?>
<table xmlns="http://schemas.openxmlformats.org/spreadsheetml/2006/main" id="1" name="Table2" displayName="Table2" ref="A1:D23" headerRowDxfId="0" headerRowBorderDxfId="1" tableBorderDxfId="3" totalsRowBorderDxfId="2">
  <autoFilter ref="A1:D23"/>
  <tableColumns count="4">
    <tableColumn id="1" name="Date" totalsRowLabel="Total" dataDxfId="5" totalsRowDxfId="4"/>
    <tableColumn id="2" name="Region" dataDxfId="7" totalsRowDxfId="6"/>
    <tableColumn id="3" name="Items" dataDxfId="8" totalsRowDxfId="6"/>
    <tableColumn id="4" name="Price" totalsRowFunction="sum" dataDxfId="10" totalsRowDxfId="9"/>
  </tableColumns>
  <tableStyleInfo name="TableStyleLight21" showColumnStripes="1" showFirstColumn="0" showLastColumn="0" showRowStripes="1"/>
</table>
</file>

<file path=xl/tables/table2.xml><?xml version="1.0" encoding="utf-8"?>
<table xmlns="http://schemas.openxmlformats.org/spreadsheetml/2006/main" id="2" name="Table3" displayName="Table3" ref="A1:D23" totalsRowShown="0" headerRowDxfId="0" headerRowBorderDxfId="1" tableBorderDxfId="3" totalsRowBorderDxfId="2">
  <autoFilter ref="A1:D23"/>
  <tableColumns count="4">
    <tableColumn id="1" name="Date" dataDxfId="5"/>
    <tableColumn id="2" name="Region" dataDxfId="7"/>
    <tableColumn id="3" name="Items" dataDxfId="8"/>
    <tableColumn id="4" name="Price" dataDxfId="10"/>
  </tableColumns>
  <tableStyleInfo name="TableStyleMedium2" showColumnStripes="0" showFirstColumn="0" showLastColumn="0" showRowStripes="1"/>
</table>
</file>

<file path=xl/tables/table3.xml><?xml version="1.0" encoding="utf-8"?>
<table xmlns="http://schemas.openxmlformats.org/spreadsheetml/2006/main" id="3" name="Table1" displayName="Table1" ref="B2:D24" totalsRowShown="0" headerRowDxfId="16" headerRowBorderDxfId="17" tableBorderDxfId="19" totalsRowBorderDxfId="18">
  <autoFilter ref="B2:D24"/>
  <tableColumns count="3">
    <tableColumn id="1" name="Region" dataDxfId="20"/>
    <tableColumn id="2" name="Items" dataDxfId="21"/>
    <tableColumn id="3" name="Price" dataDxfId="22"/>
  </tableColumns>
  <tableStyleInfo name="TableStyleLight8" showColumnStripes="0" showFirstColumn="0" showLastColumn="0" showRowStripes="1"/>
</table>
</file>

<file path=xl/tables/table4.xml><?xml version="1.0" encoding="utf-8"?>
<table xmlns="http://schemas.openxmlformats.org/spreadsheetml/2006/main" id="4" name="Table7" displayName="Table7" ref="B3:G14" totalsRowShown="0" headerRowDxfId="26" dataDxfId="27" tableBorderDxfId="28">
  <autoFilter ref="B3:G14"/>
  <tableColumns count="6">
    <tableColumn id="1" name="Medicines" dataDxfId="29"/>
    <tableColumn id="2" name="2012" dataDxfId="30"/>
    <tableColumn id="3" name="2013" dataDxfId="30"/>
    <tableColumn id="4" name="2014" dataDxfId="30"/>
    <tableColumn id="5" name="2015" dataDxfId="30"/>
    <tableColumn id="6" name="2016" dataDxfId="31" dataCellStyle="Normal 2"/>
  </tableColumns>
  <tableStyleInfo name="TableStyleMedium2" showColumnStripes="0" showFirstColumn="0" showLastColumn="0" showRowStripes="1"/>
</table>
</file>

<file path=xl/tables/table5.xml><?xml version="1.0" encoding="utf-8"?>
<table xmlns="http://schemas.openxmlformats.org/spreadsheetml/2006/main" id="5" name="Table7_2" displayName="Table7_2" ref="B2:G10" tableType="queryTable" totalsRowShown="0" headerRowDxfId="32" dataDxfId="33" headerRowBorderDxfId="17" tableBorderDxfId="19" totalsRowBorderDxfId="18">
  <autoFilter ref="B2:G10"/>
  <tableColumns count="6">
    <tableColumn id="1" name="TAB.Medicines" queryTableFieldId="1" uniqueName="1" dataDxfId="34"/>
    <tableColumn id="2" name="2012" queryTableFieldId="2" uniqueName="2" dataDxfId="35"/>
    <tableColumn id="3" name="2013" queryTableFieldId="3" uniqueName="3" dataDxfId="35"/>
    <tableColumn id="4" name="2014" queryTableFieldId="4" uniqueName="4" dataDxfId="35"/>
    <tableColumn id="5" name="2015" queryTableFieldId="5" uniqueName="5" dataDxfId="35"/>
    <tableColumn id="6" name="2016" queryTableFieldId="6" uniqueName="6" dataDxfId="36"/>
  </tableColumns>
  <tableStyleInfo name="TableStyleMedium7" showColumnStripes="0" showFirstColumn="0" showLastColumn="0" showRowStripes="1"/>
</table>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_rels/sheet3.xml.rels>&#65279;<?xml version="1.0" encoding="utf-8"?><Relationships xmlns="http://schemas.openxmlformats.org/package/2006/relationships"><Relationship Id="rId1" Type="http://schemas.openxmlformats.org/officeDocument/2006/relationships/drawing" Target="../drawings/drawing1.xml" /></Relationships>
</file>

<file path=xl/worksheets/_rels/sheet4.xml.rels>&#65279;<?xml version="1.0" encoding="utf-8"?><Relationships xmlns="http://schemas.openxmlformats.org/package/2006/relationships"><Relationship Id="rId1" Type="http://schemas.openxmlformats.org/officeDocument/2006/relationships/printerSettings" Target="../printerSettings/printerSettings2.bin" /></Relationships>
</file>

<file path=xl/worksheets/_rels/sheet5.xml.rels>&#65279;<?xml version="1.0" encoding="utf-8"?><Relationships xmlns="http://schemas.openxmlformats.org/package/2006/relationships"><Relationship Id="rId1" Type="http://schemas.openxmlformats.org/officeDocument/2006/relationships/printerSettings" Target="../printerSettings/printerSettings3.bin" /></Relationships>
</file>

<file path=xl/worksheets/_rels/sheet7.xml.rels>&#65279;<?xml version="1.0" encoding="utf-8"?><Relationships xmlns="http://schemas.openxmlformats.org/package/2006/relationships"><Relationship Id="rId1" Type="http://schemas.openxmlformats.org/officeDocument/2006/relationships/pivotTable" Target="../pivotTables/pivotTable1.xml" /><Relationship Id="rId2" Type="http://schemas.openxmlformats.org/officeDocument/2006/relationships/table" Target="../tables/table1.xml" /></Relationships>
</file>

<file path=xl/worksheets/_rels/sheet10.xml.rels>&#65279;<?xml version="1.0" encoding="utf-8"?><Relationships xmlns="http://schemas.openxmlformats.org/package/2006/relationships"><Relationship Id="rId1" Type="http://schemas.openxmlformats.org/officeDocument/2006/relationships/drawing" Target="../drawings/drawing2.xml" /><Relationship Id="rId2" Type="http://schemas.openxmlformats.org/officeDocument/2006/relationships/table" Target="../tables/table2.xml" /><Relationship Id="rId3" Type="http://schemas.microsoft.com/office/2007/relationships/slicer" Target="../slicers/slicer1.xml" /></Relationships>
</file>

<file path=xl/worksheets/_rels/sheet11.xml.rels>&#65279;<?xml version="1.0" encoding="utf-8"?><Relationships xmlns="http://schemas.openxmlformats.org/package/2006/relationships"><Relationship Id="rId1" Type="http://schemas.openxmlformats.org/officeDocument/2006/relationships/pivotTable" Target="../pivotTables/pivotTable2.xml" /><Relationship Id="rId2" Type="http://schemas.openxmlformats.org/officeDocument/2006/relationships/printerSettings" Target="../printerSettings/printerSettings4.bin" /><Relationship Id="rId3" Type="http://schemas.openxmlformats.org/officeDocument/2006/relationships/drawing" Target="../drawings/drawing3.xml" /></Relationships>
</file>

<file path=xl/worksheets/_rels/sheet12.xml.rels>&#65279;<?xml version="1.0" encoding="utf-8"?><Relationships xmlns="http://schemas.openxmlformats.org/package/2006/relationships"><Relationship Id="rId1" Type="http://schemas.openxmlformats.org/officeDocument/2006/relationships/printerSettings" Target="../printerSettings/printerSettings5.bin" /></Relationships>
</file>

<file path=xl/worksheets/_rels/sheet13.xml.rels>&#65279;<?xml version="1.0" encoding="utf-8"?><Relationships xmlns="http://schemas.openxmlformats.org/package/2006/relationships"><Relationship Id="rId1" Type="http://schemas.openxmlformats.org/officeDocument/2006/relationships/printerSettings" Target="../printerSettings/printerSettings6.bin" /></Relationships>
</file>

<file path=xl/worksheets/_rels/sheet14.xml.rels>&#65279;<?xml version="1.0" encoding="utf-8"?><Relationships xmlns="http://schemas.openxmlformats.org/package/2006/relationships"><Relationship Id="rId1" Type="http://schemas.openxmlformats.org/officeDocument/2006/relationships/printerSettings" Target="../printerSettings/printerSettings7.bin" /></Relationships>
</file>

<file path=xl/worksheets/_rels/sheet15.xml.rels>&#65279;<?xml version="1.0" encoding="utf-8"?><Relationships xmlns="http://schemas.openxmlformats.org/package/2006/relationships"><Relationship Id="rId1" Type="http://schemas.openxmlformats.org/officeDocument/2006/relationships/printerSettings" Target="../printerSettings/printerSettings8.bin" /></Relationships>
</file>

<file path=xl/worksheets/_rels/sheet16.xml.rels>&#65279;<?xml version="1.0" encoding="utf-8"?><Relationships xmlns="http://schemas.openxmlformats.org/package/2006/relationships"><Relationship Id="rId1" Type="http://schemas.openxmlformats.org/officeDocument/2006/relationships/printerSettings" Target="../printerSettings/printerSettings9.bin" /></Relationships>
</file>

<file path=xl/worksheets/_rels/sheet18.xml.rels>&#65279;<?xml version="1.0" encoding="utf-8"?><Relationships xmlns="http://schemas.openxmlformats.org/package/2006/relationships"><Relationship Id="rId1" Type="http://schemas.openxmlformats.org/officeDocument/2006/relationships/vmlDrawing" Target="../drawings/vmlDrawing1.vml" /><Relationship Id="rId2" Type="http://schemas.openxmlformats.org/officeDocument/2006/relationships/comments" Target="../comments1.xml" /></Relationships>
</file>

<file path=xl/worksheets/_rels/sheet20.xml.rels>&#65279;<?xml version="1.0" encoding="utf-8"?><Relationships xmlns="http://schemas.openxmlformats.org/package/2006/relationships"><Relationship Id="rId1" Type="http://schemas.openxmlformats.org/officeDocument/2006/relationships/table" Target="../tables/table3.xml" /></Relationships>
</file>

<file path=xl/worksheets/_rels/sheet21.xml.rels>&#65279;<?xml version="1.0" encoding="utf-8"?><Relationships xmlns="http://schemas.openxmlformats.org/package/2006/relationships"><Relationship Id="rId1" Type="http://schemas.openxmlformats.org/officeDocument/2006/relationships/table" Target="../tables/table4.xml" /></Relationships>
</file>

<file path=xl/worksheets/_rels/sheet22.xml.rels>&#65279;<?xml version="1.0" encoding="utf-8"?><Relationships xmlns="http://schemas.openxmlformats.org/package/2006/relationships"><Relationship Id="rId1" Type="http://schemas.openxmlformats.org/officeDocument/2006/relationships/pivotTable" Target="../pivotTables/pivotTable3.xml" /><Relationship Id="rId2" Type="http://schemas.openxmlformats.org/officeDocument/2006/relationships/printerSettings" Target="../printerSettings/printerSettings10.bin" /><Relationship Id="rId3" Type="http://schemas.openxmlformats.org/officeDocument/2006/relationships/table" Target="../tables/table5.xml" /></Relationships>
</file>

<file path=xl/worksheets/_rels/sheet23.xml.rels>&#65279;<?xml version="1.0" encoding="utf-8"?><Relationships xmlns="http://schemas.openxmlformats.org/package/2006/relationships"><Relationship Id="rId1" Type="http://schemas.openxmlformats.org/officeDocument/2006/relationships/printerSettings" Target="../printerSettings/printerSettings11.bin" /><Relationship Id="rId2" Type="http://schemas.openxmlformats.org/officeDocument/2006/relationships/drawing" Target="../drawings/drawing4.xml" /><Relationship Id="rId3" Type="http://schemas.microsoft.com/office/2007/relationships/slicer" Target="../slicers/slicer2.xml" /></Relationships>
</file>

<file path=xl/worksheets/sheet1.xml><?xml version="1.0" encoding="utf-8"?>
<worksheet xmlns:r="http://schemas.openxmlformats.org/officeDocument/2006/relationships" xmlns="http://schemas.openxmlformats.org/spreadsheetml/2006/main">
  <sheetPr>
    <tabColor rgb="FFFFC000"/>
  </sheetPr>
  <sheetViews>
    <sheetView zoomScaleNormal="100" workbookViewId="0" topLeftCell="A10">
      <selection activeCell="H23" sqref="H23"/>
    </sheetView>
  </sheetViews>
  <sheetFormatPr defaultColWidth="15.09766" defaultRowHeight="30" customHeight="1"/>
  <cols>
    <col min="1" max="1" width="15.19922" style="3" bestFit="1" customWidth="1"/>
    <col min="2" max="2" width="25" style="3" customWidth="1"/>
    <col min="3" max="3" width="25" style="3" bestFit="1" customWidth="1"/>
    <col min="4" max="4" width="16" style="4" customWidth="1"/>
    <col min="5" max="5" width="9.097656" style="5" bestFit="1" customWidth="1"/>
    <col min="6" max="6" width="9.398438" style="3" customWidth="1"/>
    <col min="7" max="7" width="15.09766" style="3"/>
    <col min="8" max="8" width="31.89844" style="3" customWidth="1"/>
    <col min="9" max="9" width="32.89844" style="3" bestFit="1" customWidth="1"/>
    <col min="10" max="16384" width="15.09766" style="3"/>
  </cols>
  <sheetData>
    <row r="1" ht="30" customHeight="1">
      <c r="A1" s="6" t="s">
        <v>0</v>
      </c>
      <c r="B1" s="6" t="s">
        <v>1</v>
      </c>
      <c r="C1" s="6" t="s">
        <v>2</v>
      </c>
      <c r="D1" s="6" t="s">
        <v>3</v>
      </c>
      <c r="E1" s="7" t="s">
        <v>4</v>
      </c>
      <c r="G1" s="8" t="s">
        <v>5</v>
      </c>
      <c r="H1" s="9"/>
      <c r="J1" s="4"/>
    </row>
    <row r="2" ht="30" customHeight="1">
      <c r="A2" s="10">
        <v>1</v>
      </c>
      <c r="B2" s="11" t="s">
        <v>6</v>
      </c>
      <c r="C2" s="11" t="s">
        <v>7</v>
      </c>
      <c r="D2" s="12">
        <v>45662</v>
      </c>
      <c r="E2" s="13">
        <v>6000</v>
      </c>
      <c r="G2" s="14" t="s">
        <v>8</v>
      </c>
      <c r="H2" s="9"/>
      <c r="J2" s="4"/>
    </row>
    <row r="3" ht="30" customHeight="1">
      <c r="A3" s="10">
        <v>2</v>
      </c>
      <c r="B3" s="11" t="s">
        <v>9</v>
      </c>
      <c r="C3" s="11" t="s">
        <v>10</v>
      </c>
      <c r="D3" s="12">
        <v>45663</v>
      </c>
      <c r="E3" s="13">
        <v>5000</v>
      </c>
      <c r="G3" s="14" t="s">
        <v>11</v>
      </c>
      <c r="H3" s="9"/>
      <c r="J3" s="4"/>
    </row>
    <row r="4" ht="30" customHeight="1">
      <c r="A4" s="10">
        <v>3</v>
      </c>
      <c r="B4" s="11" t="s">
        <v>9</v>
      </c>
      <c r="C4" s="11" t="s">
        <v>12</v>
      </c>
      <c r="D4" s="12">
        <v>45664</v>
      </c>
      <c r="E4" s="13">
        <v>7000</v>
      </c>
      <c r="G4" s="14" t="s">
        <v>13</v>
      </c>
      <c r="H4" s="9"/>
      <c r="J4" s="4"/>
    </row>
    <row r="5" ht="30" customHeight="1">
      <c r="A5" s="10">
        <v>4</v>
      </c>
      <c r="B5" s="11" t="s">
        <v>9</v>
      </c>
      <c r="C5" s="11" t="s">
        <v>14</v>
      </c>
      <c r="D5" s="12">
        <v>45665</v>
      </c>
      <c r="E5" s="13">
        <v>8000</v>
      </c>
      <c r="J5" s="4"/>
    </row>
    <row r="6" ht="30" customHeight="1">
      <c r="A6" s="10">
        <v>5</v>
      </c>
      <c r="B6" s="11" t="s">
        <v>15</v>
      </c>
      <c r="C6" s="11" t="s">
        <v>16</v>
      </c>
      <c r="D6" s="12">
        <v>45666</v>
      </c>
      <c r="E6" s="13">
        <v>10000</v>
      </c>
      <c r="G6" s="15" t="s">
        <v>17</v>
      </c>
      <c r="H6" s="16" t="s">
        <v>18</v>
      </c>
      <c r="I6" s="15" t="s">
        <v>19</v>
      </c>
      <c r="J6" s="17" t="s">
        <v>20</v>
      </c>
    </row>
    <row r="7" ht="30" customHeight="1">
      <c r="A7" s="10">
        <v>6</v>
      </c>
      <c r="B7" s="11" t="s">
        <v>21</v>
      </c>
      <c r="C7" s="11" t="s">
        <v>22</v>
      </c>
      <c r="D7" s="12">
        <v>45667</v>
      </c>
      <c r="E7" s="13">
        <v>15000</v>
      </c>
      <c r="G7" s="18" t="s">
        <v>23</v>
      </c>
      <c r="H7" s="18" t="s">
        <v>24</v>
      </c>
      <c r="I7" s="18" t="s">
        <v>25</v>
      </c>
      <c r="J7" s="19">
        <f>SUM(E2:E21)</f>
        <v>554000</v>
      </c>
    </row>
    <row r="8" ht="30" customHeight="1">
      <c r="A8" s="10">
        <v>7</v>
      </c>
      <c r="B8" s="11" t="s">
        <v>6</v>
      </c>
      <c r="C8" s="11" t="s">
        <v>12</v>
      </c>
      <c r="D8" s="12">
        <v>45668</v>
      </c>
      <c r="E8" s="13">
        <v>9000</v>
      </c>
      <c r="G8" s="18" t="s">
        <v>26</v>
      </c>
      <c r="H8" s="18" t="s">
        <v>27</v>
      </c>
      <c r="I8" s="18" t="s">
        <v>28</v>
      </c>
      <c r="J8" s="19">
        <f>AVERAGE(E2:E21)</f>
        <v>27700</v>
      </c>
    </row>
    <row r="9" ht="30" customHeight="1">
      <c r="A9" s="10">
        <v>8</v>
      </c>
      <c r="B9" s="11" t="s">
        <v>21</v>
      </c>
      <c r="C9" s="11" t="s">
        <v>29</v>
      </c>
      <c r="D9" s="12">
        <v>45669</v>
      </c>
      <c r="E9" s="13">
        <v>18000</v>
      </c>
      <c r="G9" s="18" t="s">
        <v>30</v>
      </c>
      <c r="H9" s="18" t="s">
        <v>31</v>
      </c>
      <c r="I9" s="18" t="s">
        <v>32</v>
      </c>
      <c r="J9" s="20">
        <f>COUNT(E2:E21)</f>
        <v>20</v>
      </c>
    </row>
    <row r="10" ht="30" customHeight="1">
      <c r="A10" s="10">
        <v>9</v>
      </c>
      <c r="B10" s="11" t="s">
        <v>21</v>
      </c>
      <c r="C10" s="11" t="s">
        <v>33</v>
      </c>
      <c r="D10" s="12">
        <v>45670</v>
      </c>
      <c r="E10" s="13">
        <v>25000</v>
      </c>
      <c r="G10" s="18" t="s">
        <v>34</v>
      </c>
      <c r="H10" s="18" t="s">
        <v>35</v>
      </c>
      <c r="I10" s="18" t="s">
        <v>36</v>
      </c>
      <c r="J10" s="19">
        <f>MIN(E2:E21)</f>
        <v>5000</v>
      </c>
    </row>
    <row r="11" ht="30" customHeight="1">
      <c r="A11" s="10">
        <v>10</v>
      </c>
      <c r="B11" s="11" t="s">
        <v>15</v>
      </c>
      <c r="C11" s="11" t="s">
        <v>37</v>
      </c>
      <c r="D11" s="12">
        <v>45671</v>
      </c>
      <c r="E11" s="13">
        <v>10000</v>
      </c>
      <c r="G11" s="18" t="s">
        <v>38</v>
      </c>
      <c r="H11" s="18" t="s">
        <v>39</v>
      </c>
      <c r="I11" s="18" t="s">
        <v>40</v>
      </c>
      <c r="J11" s="19">
        <f>MAX(E2:E21)</f>
        <v>80000</v>
      </c>
    </row>
    <row r="12" ht="30" customHeight="1">
      <c r="A12" s="10">
        <v>11</v>
      </c>
      <c r="B12" s="11" t="s">
        <v>21</v>
      </c>
      <c r="C12" s="11" t="s">
        <v>41</v>
      </c>
      <c r="D12" s="12">
        <v>45672</v>
      </c>
      <c r="E12" s="13">
        <v>30000</v>
      </c>
      <c r="G12" s="18" t="s">
        <v>42</v>
      </c>
      <c r="H12" s="18" t="s">
        <v>43</v>
      </c>
      <c r="I12" s="18" t="s">
        <v>44</v>
      </c>
      <c r="J12" s="21" t="str">
        <f>IF(E2&gt;10000,"High","Low")</f>
        <v>Low</v>
      </c>
    </row>
    <row r="13" ht="30" customHeight="1">
      <c r="A13" s="10">
        <v>12</v>
      </c>
      <c r="B13" s="11" t="s">
        <v>6</v>
      </c>
      <c r="C13" s="11" t="s">
        <v>45</v>
      </c>
      <c r="D13" s="12">
        <v>45673</v>
      </c>
      <c r="E13" s="13">
        <v>25000</v>
      </c>
      <c r="G13" s="18" t="s">
        <v>46</v>
      </c>
      <c r="H13" s="18" t="s">
        <v>47</v>
      </c>
      <c r="I13" s="18" t="s">
        <v>48</v>
      </c>
      <c r="J13" s="18" t="str">
        <f>E2 &amp; " " &amp; E3</f>
        <v>6000 5000</v>
      </c>
    </row>
    <row r="14" ht="30" customHeight="1">
      <c r="A14" s="10">
        <v>13</v>
      </c>
      <c r="B14" s="11" t="s">
        <v>6</v>
      </c>
      <c r="C14" s="11" t="s">
        <v>49</v>
      </c>
      <c r="D14" s="12">
        <v>45674</v>
      </c>
      <c r="E14" s="13">
        <v>45000</v>
      </c>
      <c r="G14" s="18" t="s">
        <v>50</v>
      </c>
      <c r="H14" s="18" t="s">
        <v>51</v>
      </c>
      <c r="I14" s="18" t="s">
        <v>52</v>
      </c>
      <c r="J14" s="22">
        <f ca="1">TODAY()</f>
        <v>45969</v>
      </c>
    </row>
    <row r="15" ht="30" customHeight="1">
      <c r="A15" s="10">
        <v>14</v>
      </c>
      <c r="B15" s="11" t="s">
        <v>6</v>
      </c>
      <c r="C15" s="11" t="s">
        <v>53</v>
      </c>
      <c r="D15" s="12">
        <v>45675</v>
      </c>
      <c r="E15" s="13">
        <v>30000</v>
      </c>
      <c r="G15" s="18" t="s">
        <v>54</v>
      </c>
      <c r="H15" s="18" t="s">
        <v>55</v>
      </c>
      <c r="I15" s="18" t="s">
        <v>56</v>
      </c>
      <c r="J15" s="18" t="b">
        <f>AND(E2&gt;0,E3&gt;0)</f>
        <v>1</v>
      </c>
    </row>
    <row r="16" ht="30" customHeight="1">
      <c r="A16" s="10">
        <v>15</v>
      </c>
      <c r="B16" s="11" t="s">
        <v>15</v>
      </c>
      <c r="C16" s="11" t="s">
        <v>57</v>
      </c>
      <c r="D16" s="12">
        <v>45676</v>
      </c>
      <c r="E16" s="13">
        <v>36000</v>
      </c>
    </row>
    <row r="17" ht="30" customHeight="1">
      <c r="A17" s="10">
        <v>16</v>
      </c>
      <c r="B17" s="11" t="s">
        <v>15</v>
      </c>
      <c r="C17" s="11" t="s">
        <v>58</v>
      </c>
      <c r="D17" s="12">
        <v>45677</v>
      </c>
      <c r="E17" s="13">
        <v>35000</v>
      </c>
    </row>
    <row r="18" ht="30" customHeight="1">
      <c r="A18" s="10">
        <v>17</v>
      </c>
      <c r="B18" s="11" t="s">
        <v>9</v>
      </c>
      <c r="C18" s="11" t="s">
        <v>7</v>
      </c>
      <c r="D18" s="12">
        <v>45678</v>
      </c>
      <c r="E18" s="13">
        <v>40000</v>
      </c>
    </row>
    <row r="19" ht="30" customHeight="1">
      <c r="A19" s="10">
        <v>18</v>
      </c>
      <c r="B19" s="11" t="s">
        <v>21</v>
      </c>
      <c r="C19" s="11" t="s">
        <v>16</v>
      </c>
      <c r="D19" s="12">
        <v>45679</v>
      </c>
      <c r="E19" s="13">
        <v>50000</v>
      </c>
    </row>
    <row r="20" ht="30" customHeight="1">
      <c r="A20" s="10">
        <v>19</v>
      </c>
      <c r="B20" s="11" t="s">
        <v>15</v>
      </c>
      <c r="C20" s="11" t="s">
        <v>33</v>
      </c>
      <c r="D20" s="12">
        <v>45680</v>
      </c>
      <c r="E20" s="13">
        <v>70000</v>
      </c>
    </row>
    <row r="21" ht="30" customHeight="1">
      <c r="A21" s="10">
        <v>20</v>
      </c>
      <c r="B21" s="11" t="s">
        <v>15</v>
      </c>
      <c r="C21" s="11" t="s">
        <v>41</v>
      </c>
      <c r="D21" s="12">
        <v>45681</v>
      </c>
      <c r="E21" s="13">
        <v>80000</v>
      </c>
    </row>
    <row r="22" ht="30" customHeight="1">
      <c r="A22" s="10"/>
      <c r="B22" s="11"/>
      <c r="C22" s="11"/>
      <c r="D22" s="12"/>
      <c r="E22" s="13"/>
    </row>
    <row r="23" ht="30" customHeight="1">
      <c r="A23" s="23" t="s">
        <v>59</v>
      </c>
      <c r="B23" s="24"/>
      <c r="C23" s="24"/>
      <c r="D23" s="24"/>
      <c r="E23" s="24"/>
    </row>
  </sheetData>
  <mergeCells count="1">
    <mergeCell ref="A23:E23"/>
  </mergeCells>
  <pageSetup r:id="rId1" orientation="portrait"/>
</worksheet>
</file>

<file path=xl/worksheets/sheet2.xml><?xml version="1.0" encoding="utf-8"?>
<worksheet xmlns:r="http://schemas.openxmlformats.org/officeDocument/2006/relationships" xmlns="http://schemas.openxmlformats.org/spreadsheetml/2006/main">
  <sheetPr>
    <tabColor rgb="FFFF99FF"/>
  </sheetPr>
  <sheetViews>
    <sheetView workbookViewId="0" topLeftCell="A13">
      <selection activeCell="A24" sqref="A24"/>
    </sheetView>
  </sheetViews>
  <sheetFormatPr defaultRowHeight="30" customHeight="1"/>
  <cols>
    <col min="1" max="1" width="10" bestFit="1" customWidth="1"/>
    <col min="2" max="2" width="11.19922" bestFit="1" customWidth="1"/>
    <col min="3" max="3" width="25" bestFit="1" customWidth="1"/>
    <col min="4" max="4" width="15.19922" bestFit="1" customWidth="1"/>
    <col min="5" max="5" width="9.097656" bestFit="1" customWidth="1"/>
    <col min="8" max="8" width="21.19922" bestFit="1" customWidth="1"/>
    <col min="9" max="9" width="20.89844" bestFit="1" customWidth="1"/>
    <col min="10" max="10" width="19.5" bestFit="1" customWidth="1"/>
  </cols>
  <sheetData>
    <row r="1" ht="30" customHeight="1">
      <c r="A1" s="6" t="s">
        <v>0</v>
      </c>
      <c r="B1" s="6" t="s">
        <v>1</v>
      </c>
      <c r="C1" s="6" t="s">
        <v>2</v>
      </c>
      <c r="D1" s="6" t="s">
        <v>3</v>
      </c>
      <c r="E1" s="7" t="s">
        <v>4</v>
      </c>
      <c r="G1" s="8" t="s">
        <v>60</v>
      </c>
      <c r="H1" s="25"/>
      <c r="I1" s="25"/>
      <c r="J1" s="25"/>
    </row>
    <row r="2" ht="30" customHeight="1">
      <c r="A2" s="10">
        <v>1</v>
      </c>
      <c r="B2" s="11" t="s">
        <v>6</v>
      </c>
      <c r="C2" s="11" t="s">
        <v>7</v>
      </c>
      <c r="D2" s="12">
        <v>45662</v>
      </c>
      <c r="E2" s="13">
        <v>6000</v>
      </c>
      <c r="G2" s="25" t="s">
        <v>61</v>
      </c>
      <c r="H2" s="25"/>
      <c r="I2" s="25"/>
      <c r="J2" s="25"/>
    </row>
    <row r="3" ht="30" customHeight="1">
      <c r="A3" s="10">
        <v>2</v>
      </c>
      <c r="B3" s="11" t="s">
        <v>9</v>
      </c>
      <c r="C3" s="11" t="s">
        <v>10</v>
      </c>
      <c r="D3" s="12">
        <v>45663</v>
      </c>
      <c r="E3" s="13">
        <v>5000</v>
      </c>
      <c r="G3" s="25" t="s">
        <v>62</v>
      </c>
      <c r="H3" s="25"/>
      <c r="I3" s="25"/>
      <c r="J3" s="25"/>
    </row>
    <row r="4" ht="30" customHeight="1">
      <c r="A4" s="10">
        <v>3</v>
      </c>
      <c r="B4" s="11" t="s">
        <v>9</v>
      </c>
      <c r="C4" s="11" t="s">
        <v>12</v>
      </c>
      <c r="D4" s="12">
        <v>45664</v>
      </c>
      <c r="E4" s="13">
        <v>7000</v>
      </c>
      <c r="G4" s="25" t="s">
        <v>63</v>
      </c>
      <c r="H4" s="25"/>
      <c r="I4" s="25"/>
      <c r="J4" s="25"/>
    </row>
    <row r="5" ht="30" customHeight="1">
      <c r="A5" s="10">
        <v>4</v>
      </c>
      <c r="B5" s="11" t="s">
        <v>9</v>
      </c>
      <c r="C5" s="11" t="s">
        <v>14</v>
      </c>
      <c r="D5" s="12">
        <v>45665</v>
      </c>
      <c r="E5" s="13">
        <v>8000</v>
      </c>
      <c r="G5" s="25" t="s">
        <v>64</v>
      </c>
      <c r="H5" s="25"/>
      <c r="I5" s="25"/>
      <c r="J5" s="25"/>
    </row>
    <row r="6" ht="30" customHeight="1">
      <c r="A6" s="10">
        <v>5</v>
      </c>
      <c r="B6" s="11" t="s">
        <v>15</v>
      </c>
      <c r="C6" s="11" t="s">
        <v>16</v>
      </c>
      <c r="D6" s="12">
        <v>45666</v>
      </c>
      <c r="E6" s="13">
        <v>10000</v>
      </c>
      <c r="G6" s="25"/>
      <c r="H6" s="25"/>
      <c r="I6" s="25"/>
      <c r="J6" s="25"/>
    </row>
    <row r="7" ht="30" customHeight="1">
      <c r="A7" s="10">
        <v>6</v>
      </c>
      <c r="B7" s="11" t="s">
        <v>21</v>
      </c>
      <c r="C7" s="11" t="s">
        <v>22</v>
      </c>
      <c r="D7" s="12">
        <v>45667</v>
      </c>
      <c r="E7" s="13">
        <v>15000</v>
      </c>
      <c r="G7" s="25"/>
      <c r="H7" s="25"/>
      <c r="I7" s="25"/>
      <c r="J7" s="25"/>
    </row>
    <row r="8" ht="30" customHeight="1">
      <c r="A8" s="10">
        <v>7</v>
      </c>
      <c r="B8" s="11" t="s">
        <v>6</v>
      </c>
      <c r="C8" s="11" t="s">
        <v>12</v>
      </c>
      <c r="D8" s="12">
        <v>45668</v>
      </c>
      <c r="E8" s="13">
        <v>9000</v>
      </c>
      <c r="G8" s="26" t="s">
        <v>65</v>
      </c>
      <c r="H8" s="26" t="s">
        <v>66</v>
      </c>
      <c r="I8" s="26" t="s">
        <v>20</v>
      </c>
      <c r="J8" s="26" t="s">
        <v>67</v>
      </c>
    </row>
    <row r="9" ht="30" customHeight="1">
      <c r="A9" s="10">
        <v>8</v>
      </c>
      <c r="B9" s="11" t="s">
        <v>21</v>
      </c>
      <c r="C9" s="11" t="s">
        <v>29</v>
      </c>
      <c r="D9" s="12">
        <v>45669</v>
      </c>
      <c r="E9" s="13">
        <v>18000</v>
      </c>
      <c r="G9" s="27" t="s">
        <v>68</v>
      </c>
      <c r="H9" s="27" t="s">
        <v>69</v>
      </c>
      <c r="I9" s="28">
        <f>E2+E3</f>
        <v>11000</v>
      </c>
      <c r="J9" s="27" t="s">
        <v>70</v>
      </c>
    </row>
    <row r="10" ht="30" customHeight="1">
      <c r="A10" s="10">
        <v>9</v>
      </c>
      <c r="B10" s="11" t="s">
        <v>21</v>
      </c>
      <c r="C10" s="11" t="s">
        <v>33</v>
      </c>
      <c r="D10" s="12">
        <v>45670</v>
      </c>
      <c r="E10" s="13">
        <v>25000</v>
      </c>
      <c r="G10" s="27" t="s">
        <v>71</v>
      </c>
      <c r="H10" s="27" t="s">
        <v>72</v>
      </c>
      <c r="I10" s="28">
        <f>E3-E2</f>
        <v>-1000</v>
      </c>
      <c r="J10" s="27" t="s">
        <v>73</v>
      </c>
    </row>
    <row r="11" ht="30" customHeight="1">
      <c r="A11" s="10">
        <v>10</v>
      </c>
      <c r="B11" s="11" t="s">
        <v>15</v>
      </c>
      <c r="C11" s="11" t="s">
        <v>37</v>
      </c>
      <c r="D11" s="12">
        <v>45671</v>
      </c>
      <c r="E11" s="13">
        <v>10000</v>
      </c>
      <c r="G11" s="27" t="s">
        <v>74</v>
      </c>
      <c r="H11" s="27" t="s">
        <v>75</v>
      </c>
      <c r="I11" s="27">
        <f>E2*E3</f>
        <v>30000000</v>
      </c>
      <c r="J11" s="27" t="s">
        <v>76</v>
      </c>
    </row>
    <row r="12" ht="30" customHeight="1">
      <c r="A12" s="10">
        <v>11</v>
      </c>
      <c r="B12" s="11" t="s">
        <v>21</v>
      </c>
      <c r="C12" s="11" t="s">
        <v>41</v>
      </c>
      <c r="D12" s="12">
        <v>45672</v>
      </c>
      <c r="E12" s="13">
        <v>30000</v>
      </c>
      <c r="G12" s="27" t="s">
        <v>77</v>
      </c>
      <c r="H12" s="27" t="s">
        <v>78</v>
      </c>
      <c r="I12" s="27">
        <f>E3/E2</f>
        <v>0.83333333333333337</v>
      </c>
      <c r="J12" s="27" t="s">
        <v>79</v>
      </c>
    </row>
    <row r="13" ht="30" customHeight="1">
      <c r="A13" s="10">
        <v>12</v>
      </c>
      <c r="B13" s="11" t="s">
        <v>6</v>
      </c>
      <c r="C13" s="11" t="s">
        <v>45</v>
      </c>
      <c r="D13" s="12">
        <v>45673</v>
      </c>
      <c r="E13" s="13">
        <v>25000</v>
      </c>
      <c r="G13" s="27" t="s">
        <v>80</v>
      </c>
      <c r="H13" s="27" t="s">
        <v>81</v>
      </c>
      <c r="I13" s="27">
        <f>E2^2</f>
        <v>36000000</v>
      </c>
      <c r="J13" s="27" t="s">
        <v>82</v>
      </c>
    </row>
    <row r="14" ht="30" customHeight="1">
      <c r="A14" s="10">
        <v>13</v>
      </c>
      <c r="B14" s="11" t="s">
        <v>6</v>
      </c>
      <c r="C14" s="11" t="s">
        <v>49</v>
      </c>
      <c r="D14" s="12">
        <v>45674</v>
      </c>
      <c r="E14" s="13">
        <v>45000</v>
      </c>
    </row>
    <row r="15" ht="30" customHeight="1">
      <c r="A15" s="10">
        <v>14</v>
      </c>
      <c r="B15" s="11" t="s">
        <v>6</v>
      </c>
      <c r="C15" s="11" t="s">
        <v>53</v>
      </c>
      <c r="D15" s="12">
        <v>45675</v>
      </c>
      <c r="E15" s="13">
        <v>30000</v>
      </c>
    </row>
    <row r="16" ht="30" customHeight="1">
      <c r="A16" s="10">
        <v>15</v>
      </c>
      <c r="B16" s="11" t="s">
        <v>15</v>
      </c>
      <c r="C16" s="11" t="s">
        <v>57</v>
      </c>
      <c r="D16" s="12">
        <v>45676</v>
      </c>
      <c r="E16" s="13">
        <v>36000</v>
      </c>
    </row>
    <row r="17" ht="30" customHeight="1">
      <c r="A17" s="10">
        <v>16</v>
      </c>
      <c r="B17" s="11" t="s">
        <v>15</v>
      </c>
      <c r="C17" s="11" t="s">
        <v>58</v>
      </c>
      <c r="D17" s="12">
        <v>45677</v>
      </c>
      <c r="E17" s="13">
        <v>35000</v>
      </c>
    </row>
    <row r="18" ht="30" customHeight="1">
      <c r="A18" s="10">
        <v>17</v>
      </c>
      <c r="B18" s="11" t="s">
        <v>9</v>
      </c>
      <c r="C18" s="11" t="s">
        <v>7</v>
      </c>
      <c r="D18" s="12">
        <v>45678</v>
      </c>
      <c r="E18" s="13">
        <v>40000</v>
      </c>
    </row>
    <row r="19" ht="30" customHeight="1">
      <c r="A19" s="10">
        <v>18</v>
      </c>
      <c r="B19" s="11" t="s">
        <v>21</v>
      </c>
      <c r="C19" s="11" t="s">
        <v>16</v>
      </c>
      <c r="D19" s="12">
        <v>45679</v>
      </c>
      <c r="E19" s="13">
        <v>50000</v>
      </c>
    </row>
    <row r="20" ht="30" customHeight="1">
      <c r="A20" s="10">
        <v>19</v>
      </c>
      <c r="B20" s="11" t="s">
        <v>15</v>
      </c>
      <c r="C20" s="11" t="s">
        <v>33</v>
      </c>
      <c r="D20" s="12">
        <v>45680</v>
      </c>
      <c r="E20" s="13">
        <v>70000</v>
      </c>
    </row>
    <row r="21" ht="30" customHeight="1">
      <c r="A21" s="10">
        <v>20</v>
      </c>
      <c r="B21" s="11" t="s">
        <v>15</v>
      </c>
      <c r="C21" s="11" t="s">
        <v>41</v>
      </c>
      <c r="D21" s="12">
        <v>45681</v>
      </c>
      <c r="E21" s="13">
        <v>80000</v>
      </c>
    </row>
    <row r="22" ht="30" customHeight="1">
      <c r="A22" s="10"/>
      <c r="B22" s="11"/>
      <c r="C22" s="11"/>
      <c r="D22" s="12"/>
      <c r="E22" s="13"/>
    </row>
    <row r="23" ht="30" customHeight="1">
      <c r="A23" s="23" t="s">
        <v>83</v>
      </c>
      <c r="B23" s="24"/>
      <c r="C23" s="24"/>
      <c r="D23" s="24"/>
      <c r="E23" s="24"/>
    </row>
  </sheetData>
  <mergeCells count="1">
    <mergeCell ref="A23:E23"/>
  </mergeCells>
</worksheet>
</file>

<file path=xl/worksheets/sheet3.xml><?xml version="1.0" encoding="utf-8"?>
<worksheet xmlns:r="http://schemas.openxmlformats.org/officeDocument/2006/relationships" xmlns="http://schemas.openxmlformats.org/spreadsheetml/2006/main">
  <sheetPr>
    <tabColor rgb="FFFFC000"/>
  </sheetPr>
  <sheetViews>
    <sheetView zoomScale="55" zoomScaleNormal="55" workbookViewId="0">
      <selection activeCell="A1" sqref="A1:E23"/>
    </sheetView>
  </sheetViews>
  <sheetFormatPr defaultRowHeight="30" customHeight="1"/>
  <cols>
    <col min="1" max="1" width="10" bestFit="1" customWidth="1"/>
    <col min="2" max="2" width="11.19922" bestFit="1" customWidth="1"/>
    <col min="3" max="3" width="25" bestFit="1" customWidth="1"/>
    <col min="4" max="4" width="25" customWidth="1"/>
    <col min="5" max="5" width="15.19922" customWidth="1"/>
  </cols>
  <sheetData>
    <row r="1" ht="30" customHeight="1">
      <c r="A1" s="6" t="s">
        <v>0</v>
      </c>
      <c r="B1" s="6" t="s">
        <v>1</v>
      </c>
      <c r="C1" s="6" t="s">
        <v>2</v>
      </c>
      <c r="D1" s="7" t="s">
        <v>4</v>
      </c>
      <c r="E1" s="6" t="s">
        <v>3</v>
      </c>
      <c r="G1" s="29" t="s">
        <v>84</v>
      </c>
    </row>
    <row r="2" ht="30" customHeight="1">
      <c r="A2" s="10">
        <v>1</v>
      </c>
      <c r="B2" s="11" t="s">
        <v>6</v>
      </c>
      <c r="C2" s="11" t="s">
        <v>7</v>
      </c>
      <c r="D2" s="13">
        <v>6000</v>
      </c>
      <c r="E2" s="12">
        <v>45662</v>
      </c>
      <c r="G2" s="25" t="s">
        <v>85</v>
      </c>
    </row>
    <row r="3" ht="30" customHeight="1">
      <c r="A3" s="10">
        <v>2</v>
      </c>
      <c r="B3" s="11" t="s">
        <v>9</v>
      </c>
      <c r="C3" s="11" t="s">
        <v>10</v>
      </c>
      <c r="D3" s="13">
        <v>5000</v>
      </c>
      <c r="E3" s="12">
        <v>45663</v>
      </c>
      <c r="G3" s="25" t="s">
        <v>86</v>
      </c>
    </row>
    <row r="4" ht="30" customHeight="1">
      <c r="A4" s="10">
        <v>3</v>
      </c>
      <c r="B4" s="11" t="s">
        <v>9</v>
      </c>
      <c r="C4" s="11" t="s">
        <v>12</v>
      </c>
      <c r="D4" s="13">
        <v>7000</v>
      </c>
      <c r="E4" s="12">
        <v>45664</v>
      </c>
    </row>
    <row r="5" ht="30" customHeight="1">
      <c r="A5" s="10">
        <v>4</v>
      </c>
      <c r="B5" s="11" t="s">
        <v>9</v>
      </c>
      <c r="C5" s="11" t="s">
        <v>14</v>
      </c>
      <c r="D5" s="13">
        <v>8000</v>
      </c>
      <c r="E5" s="12">
        <v>45665</v>
      </c>
    </row>
    <row r="6" ht="30" customHeight="1">
      <c r="A6" s="10">
        <v>5</v>
      </c>
      <c r="B6" s="11" t="s">
        <v>15</v>
      </c>
      <c r="C6" s="11" t="s">
        <v>16</v>
      </c>
      <c r="D6" s="13">
        <v>10000</v>
      </c>
      <c r="E6" s="12">
        <v>45666</v>
      </c>
    </row>
    <row r="7" ht="30" customHeight="1">
      <c r="A7" s="10">
        <v>6</v>
      </c>
      <c r="B7" s="11" t="s">
        <v>21</v>
      </c>
      <c r="C7" s="11" t="s">
        <v>22</v>
      </c>
      <c r="D7" s="13">
        <v>15000</v>
      </c>
      <c r="E7" s="12">
        <v>45667</v>
      </c>
    </row>
    <row r="8" ht="30" customHeight="1">
      <c r="A8" s="10">
        <v>7</v>
      </c>
      <c r="B8" s="11" t="s">
        <v>6</v>
      </c>
      <c r="C8" s="11" t="s">
        <v>12</v>
      </c>
      <c r="D8" s="13">
        <v>9000</v>
      </c>
      <c r="E8" s="12">
        <v>45668</v>
      </c>
    </row>
    <row r="9" ht="30" customHeight="1">
      <c r="A9" s="10">
        <v>8</v>
      </c>
      <c r="B9" s="11" t="s">
        <v>21</v>
      </c>
      <c r="C9" s="11" t="s">
        <v>29</v>
      </c>
      <c r="D9" s="13">
        <v>18000</v>
      </c>
      <c r="E9" s="12">
        <v>45669</v>
      </c>
    </row>
    <row r="10" ht="30" customHeight="1">
      <c r="A10" s="10">
        <v>9</v>
      </c>
      <c r="B10" s="11" t="s">
        <v>21</v>
      </c>
      <c r="C10" s="11" t="s">
        <v>33</v>
      </c>
      <c r="D10" s="13">
        <v>25000</v>
      </c>
      <c r="E10" s="12">
        <v>45670</v>
      </c>
    </row>
    <row r="11" ht="30" customHeight="1">
      <c r="A11" s="10">
        <v>10</v>
      </c>
      <c r="B11" s="11" t="s">
        <v>15</v>
      </c>
      <c r="C11" s="11" t="s">
        <v>37</v>
      </c>
      <c r="D11" s="13">
        <v>10000</v>
      </c>
      <c r="E11" s="12">
        <v>45671</v>
      </c>
    </row>
    <row r="12" ht="30" customHeight="1">
      <c r="A12" s="10">
        <v>11</v>
      </c>
      <c r="B12" s="11" t="s">
        <v>21</v>
      </c>
      <c r="C12" s="11" t="s">
        <v>41</v>
      </c>
      <c r="D12" s="13">
        <v>30000</v>
      </c>
      <c r="E12" s="12">
        <v>45672</v>
      </c>
    </row>
    <row r="13" ht="30" customHeight="1">
      <c r="A13" s="10">
        <v>12</v>
      </c>
      <c r="B13" s="11" t="s">
        <v>6</v>
      </c>
      <c r="C13" s="11" t="s">
        <v>45</v>
      </c>
      <c r="D13" s="13">
        <v>25000</v>
      </c>
      <c r="E13" s="12">
        <v>45673</v>
      </c>
    </row>
    <row r="14" ht="30" customHeight="1">
      <c r="A14" s="10">
        <v>13</v>
      </c>
      <c r="B14" s="11" t="s">
        <v>6</v>
      </c>
      <c r="C14" s="11" t="s">
        <v>49</v>
      </c>
      <c r="D14" s="13">
        <v>45000</v>
      </c>
      <c r="E14" s="12">
        <v>45674</v>
      </c>
    </row>
    <row r="15" ht="30" customHeight="1">
      <c r="A15" s="10">
        <v>14</v>
      </c>
      <c r="B15" s="11" t="s">
        <v>6</v>
      </c>
      <c r="C15" s="11" t="s">
        <v>53</v>
      </c>
      <c r="D15" s="13">
        <v>30000</v>
      </c>
      <c r="E15" s="12">
        <v>45675</v>
      </c>
    </row>
    <row r="16" ht="30" customHeight="1">
      <c r="A16" s="10">
        <v>15</v>
      </c>
      <c r="B16" s="11" t="s">
        <v>15</v>
      </c>
      <c r="C16" s="11" t="s">
        <v>57</v>
      </c>
      <c r="D16" s="13">
        <v>36000</v>
      </c>
      <c r="E16" s="12">
        <v>45676</v>
      </c>
    </row>
    <row r="17" ht="30" customHeight="1">
      <c r="A17" s="10">
        <v>16</v>
      </c>
      <c r="B17" s="11" t="s">
        <v>15</v>
      </c>
      <c r="C17" s="11" t="s">
        <v>58</v>
      </c>
      <c r="D17" s="13">
        <v>35000</v>
      </c>
      <c r="E17" s="12">
        <v>45677</v>
      </c>
    </row>
    <row r="18" ht="30" customHeight="1">
      <c r="A18" s="10">
        <v>17</v>
      </c>
      <c r="B18" s="11" t="s">
        <v>9</v>
      </c>
      <c r="C18" s="11" t="s">
        <v>7</v>
      </c>
      <c r="D18" s="13">
        <v>40000</v>
      </c>
      <c r="E18" s="12">
        <v>45678</v>
      </c>
    </row>
    <row r="19" ht="30" customHeight="1">
      <c r="A19" s="10">
        <v>18</v>
      </c>
      <c r="B19" s="11" t="s">
        <v>21</v>
      </c>
      <c r="C19" s="11" t="s">
        <v>16</v>
      </c>
      <c r="D19" s="13">
        <v>50000</v>
      </c>
      <c r="E19" s="12">
        <v>45679</v>
      </c>
    </row>
    <row r="20" ht="30" customHeight="1">
      <c r="A20" s="10">
        <v>19</v>
      </c>
      <c r="B20" s="11" t="s">
        <v>15</v>
      </c>
      <c r="C20" s="11" t="s">
        <v>33</v>
      </c>
      <c r="D20" s="13">
        <v>70000</v>
      </c>
      <c r="E20" s="12">
        <v>45680</v>
      </c>
    </row>
    <row r="21" ht="30" customHeight="1">
      <c r="A21" s="10">
        <v>20</v>
      </c>
      <c r="B21" s="11" t="s">
        <v>15</v>
      </c>
      <c r="C21" s="11" t="s">
        <v>41</v>
      </c>
      <c r="D21" s="13">
        <v>80000</v>
      </c>
      <c r="E21" s="12">
        <v>45681</v>
      </c>
    </row>
    <row r="22" ht="30" customHeight="1">
      <c r="A22" s="10"/>
      <c r="B22" s="11"/>
      <c r="C22" s="11"/>
      <c r="D22" s="11"/>
      <c r="E22" s="12"/>
    </row>
    <row r="23" ht="30" customHeight="1">
      <c r="A23" s="30" t="s">
        <v>87</v>
      </c>
      <c r="B23" s="31"/>
      <c r="C23" s="31"/>
      <c r="D23" s="31"/>
      <c r="E23" s="31"/>
    </row>
  </sheetData>
  <mergeCells count="1">
    <mergeCell ref="A23:E23"/>
  </mergeCells>
  <drawing r:id="rId1"/>
</worksheet>
</file>

<file path=xl/worksheets/sheet4.xml><?xml version="1.0" encoding="utf-8"?>
<worksheet xmlns:r="http://schemas.openxmlformats.org/officeDocument/2006/relationships" xmlns="http://schemas.openxmlformats.org/spreadsheetml/2006/main">
  <sheetPr>
    <tabColor rgb="FFFF99FF"/>
  </sheetPr>
  <sheetViews>
    <sheetView workbookViewId="0" topLeftCell="C1">
      <selection activeCell="G21" sqref="G21"/>
    </sheetView>
  </sheetViews>
  <sheetFormatPr defaultColWidth="10.39844" defaultRowHeight="15.75"/>
  <cols>
    <col min="1" max="1" width="10" bestFit="1" customWidth="1"/>
    <col min="2" max="2" width="11.19922" bestFit="1" customWidth="1"/>
    <col min="3" max="3" width="25" bestFit="1" customWidth="1"/>
    <col min="4" max="4" width="9.097656" bestFit="1" customWidth="1"/>
    <col min="5" max="5" width="15.19922" style="32" bestFit="1" customWidth="1"/>
    <col min="7" max="7" width="38.09766" customWidth="1"/>
    <col min="8" max="8" width="37.59766" customWidth="1"/>
    <col min="9" max="9" width="54.5" bestFit="1" customWidth="1"/>
  </cols>
  <sheetData>
    <row r="1" ht="22.8">
      <c r="A1" s="6" t="s">
        <v>0</v>
      </c>
      <c r="B1" s="6" t="s">
        <v>1</v>
      </c>
      <c r="C1" s="6" t="s">
        <v>2</v>
      </c>
      <c r="D1" s="7" t="s">
        <v>4</v>
      </c>
      <c r="E1" s="6" t="s">
        <v>3</v>
      </c>
      <c r="G1" s="33" t="s">
        <v>88</v>
      </c>
    </row>
    <row r="2" ht="22.8">
      <c r="A2" s="10">
        <v>1</v>
      </c>
      <c r="B2" s="11" t="s">
        <v>6</v>
      </c>
      <c r="C2" s="11" t="s">
        <v>7</v>
      </c>
      <c r="D2" s="13">
        <v>6000</v>
      </c>
      <c r="E2" s="12">
        <v>45662</v>
      </c>
      <c r="G2" s="3" t="s">
        <v>89</v>
      </c>
    </row>
    <row r="3" ht="22.8">
      <c r="A3" s="10">
        <v>2</v>
      </c>
      <c r="B3" s="11" t="s">
        <v>9</v>
      </c>
      <c r="C3" s="11" t="s">
        <v>10</v>
      </c>
      <c r="D3" s="13">
        <v>5000</v>
      </c>
      <c r="E3" s="12">
        <v>45663</v>
      </c>
      <c r="G3" s="3" t="s">
        <v>90</v>
      </c>
    </row>
    <row r="4" ht="22.8">
      <c r="A4" s="10">
        <v>3</v>
      </c>
      <c r="B4" s="11" t="s">
        <v>9</v>
      </c>
      <c r="C4" s="11" t="s">
        <v>12</v>
      </c>
      <c r="D4" s="13">
        <v>7000</v>
      </c>
      <c r="E4" s="12">
        <v>45664</v>
      </c>
    </row>
    <row r="5" ht="22.8">
      <c r="A5" s="10">
        <v>4</v>
      </c>
      <c r="B5" s="11" t="s">
        <v>9</v>
      </c>
      <c r="C5" s="11" t="s">
        <v>14</v>
      </c>
      <c r="D5" s="13">
        <v>8000</v>
      </c>
      <c r="E5" s="12">
        <v>45665</v>
      </c>
      <c r="G5" s="33" t="s">
        <v>91</v>
      </c>
    </row>
    <row r="6" ht="22.8">
      <c r="A6" s="10">
        <v>5</v>
      </c>
      <c r="B6" s="11" t="s">
        <v>15</v>
      </c>
      <c r="C6" s="11" t="s">
        <v>16</v>
      </c>
      <c r="D6" s="13">
        <v>10000</v>
      </c>
      <c r="E6" s="12">
        <v>45666</v>
      </c>
      <c r="G6" s="15" t="s">
        <v>92</v>
      </c>
      <c r="H6" s="15" t="s">
        <v>93</v>
      </c>
      <c r="I6" s="15" t="s">
        <v>66</v>
      </c>
    </row>
    <row r="7" ht="22.8">
      <c r="A7" s="10">
        <v>6</v>
      </c>
      <c r="B7" s="11" t="s">
        <v>21</v>
      </c>
      <c r="C7" s="11" t="s">
        <v>22</v>
      </c>
      <c r="D7" s="13">
        <v>15000</v>
      </c>
      <c r="E7" s="12">
        <v>45667</v>
      </c>
      <c r="G7" s="18" t="s">
        <v>94</v>
      </c>
      <c r="H7" s="34" t="str">
        <f>TEXT(DATE(2025,10,9),"dd/mm/yyyy")</f>
        <v>09/10/2025</v>
      </c>
      <c r="I7" s="18" t="s">
        <v>95</v>
      </c>
    </row>
    <row r="8" ht="22.8">
      <c r="A8" s="10">
        <v>7</v>
      </c>
      <c r="B8" s="11" t="s">
        <v>6</v>
      </c>
      <c r="C8" s="11" t="s">
        <v>12</v>
      </c>
      <c r="D8" s="13">
        <v>9000</v>
      </c>
      <c r="E8" s="12">
        <v>45668</v>
      </c>
      <c r="G8" s="18" t="s">
        <v>96</v>
      </c>
      <c r="H8" s="35" t="str">
        <f>TEXT(DATE(2025,10,9),"mm/dd/yyyy")</f>
        <v>10/09/2025</v>
      </c>
      <c r="I8" s="18" t="s">
        <v>97</v>
      </c>
    </row>
    <row r="9" ht="22.8">
      <c r="A9" s="10">
        <v>8</v>
      </c>
      <c r="B9" s="11" t="s">
        <v>21</v>
      </c>
      <c r="C9" s="11" t="s">
        <v>29</v>
      </c>
      <c r="D9" s="13">
        <v>18000</v>
      </c>
      <c r="E9" s="12">
        <v>45669</v>
      </c>
      <c r="G9" s="18" t="s">
        <v>98</v>
      </c>
      <c r="H9" s="36" t="str">
        <f>TEXT(DATE(2025,10,9),"dd-mmm-yyyy")</f>
        <v>09-Oct-2025</v>
      </c>
      <c r="I9" s="18" t="s">
        <v>99</v>
      </c>
    </row>
    <row r="10" ht="22.8">
      <c r="A10" s="10">
        <v>9</v>
      </c>
      <c r="B10" s="11" t="s">
        <v>21</v>
      </c>
      <c r="C10" s="11" t="s">
        <v>33</v>
      </c>
      <c r="D10" s="13">
        <v>25000</v>
      </c>
      <c r="E10" s="12">
        <v>45670</v>
      </c>
      <c r="G10" s="18" t="s">
        <v>100</v>
      </c>
      <c r="H10" s="36" t="str">
        <f>TEXT(DATE(2025,10,9),"dddd, mmmm dd, yyyy")</f>
        <v>Thursday, October 09, 2025</v>
      </c>
      <c r="I10" s="18" t="s">
        <v>101</v>
      </c>
    </row>
    <row r="11" ht="22.8">
      <c r="A11" s="10">
        <v>10</v>
      </c>
      <c r="B11" s="11" t="s">
        <v>15</v>
      </c>
      <c r="C11" s="11" t="s">
        <v>37</v>
      </c>
      <c r="D11" s="13">
        <v>10000</v>
      </c>
      <c r="E11" s="12">
        <v>45671</v>
      </c>
      <c r="G11" s="18" t="s">
        <v>102</v>
      </c>
      <c r="H11" s="36" t="str">
        <f>TEXT(DATE(2025,10,9),"mmm-yy")</f>
        <v>Oct-25</v>
      </c>
      <c r="I11" s="18" t="s">
        <v>103</v>
      </c>
    </row>
    <row r="12" ht="22.8">
      <c r="A12" s="10">
        <v>11</v>
      </c>
      <c r="B12" s="11" t="s">
        <v>21</v>
      </c>
      <c r="C12" s="11" t="s">
        <v>41</v>
      </c>
      <c r="D12" s="13">
        <v>30000</v>
      </c>
      <c r="E12" s="12">
        <v>45672</v>
      </c>
      <c r="G12" s="18" t="s">
        <v>104</v>
      </c>
      <c r="H12" s="36" t="str">
        <f>TEXT(DATE(2025,10,9),"dd-mm")</f>
        <v>09-10</v>
      </c>
      <c r="I12" s="18" t="s">
        <v>105</v>
      </c>
    </row>
    <row r="13" ht="22.8">
      <c r="A13" s="10">
        <v>12</v>
      </c>
      <c r="B13" s="11" t="s">
        <v>6</v>
      </c>
      <c r="C13" s="11" t="s">
        <v>45</v>
      </c>
      <c r="D13" s="13">
        <v>25000</v>
      </c>
      <c r="E13" s="12">
        <v>45673</v>
      </c>
      <c r="G13" s="18" t="s">
        <v>106</v>
      </c>
      <c r="H13" s="36" t="str">
        <f>TEXT(DATE(2025,10,9),"yyyy-mm-dd")</f>
        <v>2025-10-09</v>
      </c>
      <c r="I13" s="18" t="s">
        <v>107</v>
      </c>
    </row>
    <row r="14" ht="22.8">
      <c r="A14" s="10">
        <v>13</v>
      </c>
      <c r="B14" s="11" t="s">
        <v>6</v>
      </c>
      <c r="C14" s="11" t="s">
        <v>49</v>
      </c>
      <c r="D14" s="13">
        <v>45000</v>
      </c>
      <c r="E14" s="12">
        <v>45674</v>
      </c>
    </row>
    <row r="15" ht="22.8">
      <c r="A15" s="10">
        <v>14</v>
      </c>
      <c r="B15" s="11" t="s">
        <v>6</v>
      </c>
      <c r="C15" s="11" t="s">
        <v>53</v>
      </c>
      <c r="D15" s="13">
        <v>30000</v>
      </c>
      <c r="E15" s="12">
        <v>45675</v>
      </c>
    </row>
    <row r="16" ht="22.8">
      <c r="A16" s="10">
        <v>15</v>
      </c>
      <c r="B16" s="11" t="s">
        <v>15</v>
      </c>
      <c r="C16" s="11" t="s">
        <v>57</v>
      </c>
      <c r="D16" s="13">
        <v>36000</v>
      </c>
      <c r="E16" s="12">
        <v>45676</v>
      </c>
    </row>
    <row r="17" ht="22.8">
      <c r="A17" s="10">
        <v>16</v>
      </c>
      <c r="B17" s="11" t="s">
        <v>15</v>
      </c>
      <c r="C17" s="11" t="s">
        <v>58</v>
      </c>
      <c r="D17" s="13">
        <v>35000</v>
      </c>
      <c r="E17" s="12">
        <v>45677</v>
      </c>
    </row>
    <row r="18" ht="22.8">
      <c r="A18" s="10">
        <v>17</v>
      </c>
      <c r="B18" s="11" t="s">
        <v>9</v>
      </c>
      <c r="C18" s="11" t="s">
        <v>7</v>
      </c>
      <c r="D18" s="13">
        <v>40000</v>
      </c>
      <c r="E18" s="12">
        <v>45678</v>
      </c>
    </row>
    <row r="19" ht="22.8">
      <c r="A19" s="10">
        <v>18</v>
      </c>
      <c r="B19" s="11" t="s">
        <v>21</v>
      </c>
      <c r="C19" s="11" t="s">
        <v>16</v>
      </c>
      <c r="D19" s="13">
        <v>50000</v>
      </c>
      <c r="E19" s="12">
        <v>45679</v>
      </c>
    </row>
    <row r="20" ht="22.8">
      <c r="A20" s="10">
        <v>19</v>
      </c>
      <c r="B20" s="11" t="s">
        <v>15</v>
      </c>
      <c r="C20" s="11" t="s">
        <v>33</v>
      </c>
      <c r="D20" s="13">
        <v>70000</v>
      </c>
      <c r="E20" s="12">
        <v>45680</v>
      </c>
    </row>
    <row r="21" ht="22.8">
      <c r="A21" s="10">
        <v>20</v>
      </c>
      <c r="B21" s="11" t="s">
        <v>15</v>
      </c>
      <c r="C21" s="11" t="s">
        <v>41</v>
      </c>
      <c r="D21" s="13">
        <v>80000</v>
      </c>
      <c r="E21" s="12">
        <v>45681</v>
      </c>
    </row>
    <row r="22" ht="22.8">
      <c r="A22" s="10"/>
      <c r="B22" s="11"/>
      <c r="C22" s="11"/>
      <c r="D22" s="11"/>
      <c r="E22" s="12"/>
    </row>
    <row r="23" ht="22.8">
      <c r="A23" s="23" t="s">
        <v>87</v>
      </c>
      <c r="B23" s="23"/>
      <c r="C23" s="23"/>
      <c r="D23" s="23"/>
      <c r="E23" s="23"/>
    </row>
  </sheetData>
  <mergeCells count="1">
    <mergeCell ref="A23:E23"/>
  </mergeCells>
  <pageSetup r:id="rId1" orientation="portrait"/>
</worksheet>
</file>

<file path=xl/worksheets/sheet5.xml><?xml version="1.0" encoding="utf-8"?>
<worksheet xmlns:r="http://schemas.openxmlformats.org/officeDocument/2006/relationships" xmlns="http://schemas.openxmlformats.org/spreadsheetml/2006/main">
  <sheetPr>
    <tabColor rgb="FFFFC000"/>
  </sheetPr>
  <sheetViews>
    <sheetView workbookViewId="0" topLeftCell="A10">
      <selection activeCell="K14" sqref="K14"/>
    </sheetView>
  </sheetViews>
  <sheetFormatPr defaultColWidth="13.69922" defaultRowHeight="30" customHeight="1"/>
  <cols>
    <col min="1" max="1" width="19.69922" style="37" bestFit="1" customWidth="1"/>
    <col min="2" max="2" width="25.69922" style="37" bestFit="1" customWidth="1"/>
    <col min="3" max="3" width="18.5" style="37" bestFit="1" customWidth="1"/>
    <col min="4" max="4" width="25" style="37" bestFit="1" customWidth="1"/>
    <col min="5" max="5" width="38.59766" style="37" bestFit="1" customWidth="1"/>
    <col min="6" max="16384" width="13.69922" style="37"/>
  </cols>
  <sheetData>
    <row r="1" ht="30" customHeight="1">
      <c r="A1" s="38" t="s">
        <v>108</v>
      </c>
      <c r="B1" s="39"/>
      <c r="C1" s="39"/>
      <c r="D1" s="39"/>
    </row>
    <row r="2" ht="30" customHeight="1">
      <c r="A2" s="40" t="s">
        <v>109</v>
      </c>
      <c r="B2" s="40" t="s">
        <v>110</v>
      </c>
      <c r="C2" s="40" t="s">
        <v>111</v>
      </c>
      <c r="D2" s="40" t="s">
        <v>112</v>
      </c>
    </row>
    <row r="3" ht="30" customHeight="1">
      <c r="A3" s="41" t="s">
        <v>113</v>
      </c>
      <c r="B3" s="41" t="str">
        <f>UPPER(A3)</f>
        <v xml:space="preserve">SATYAM      DUBEY</v>
      </c>
      <c r="C3" s="41" t="str">
        <f>LOWER(A3)</f>
        <v xml:space="preserve">satyam      dubey</v>
      </c>
      <c r="D3" s="41" t="str">
        <f>PROPER(A3)</f>
        <v xml:space="preserve">Satyam      Dubey</v>
      </c>
    </row>
    <row r="4" ht="30" customHeight="1">
      <c r="A4" s="41" t="s">
        <v>114</v>
      </c>
      <c r="B4" s="41" t="str">
        <f>UPPER(A4)</f>
        <v xml:space="preserve">ISHIKA KH     ANNA</v>
      </c>
      <c r="C4" s="41" t="str">
        <f>LOWER(A4)</f>
        <v xml:space="preserve">ishika kh     anna</v>
      </c>
      <c r="D4" s="41" t="str">
        <f>PROPER(A4)</f>
        <v xml:space="preserve">Ishika Kh     Anna</v>
      </c>
    </row>
    <row r="5" ht="30" customHeight="1">
      <c r="A5" s="41" t="s">
        <v>115</v>
      </c>
      <c r="B5" s="41" t="str">
        <f t="shared" ref="B5:B7" si="0">UPPER(A5)</f>
        <v xml:space="preserve">VIKAS       SINGH</v>
      </c>
      <c r="C5" s="41" t="str">
        <f t="shared" ref="C5:C7" si="1">LOWER(A5)</f>
        <v xml:space="preserve">vikas       singh</v>
      </c>
      <c r="D5" s="41" t="str">
        <f t="shared" ref="D5:D7" si="2">PROPER(A5)</f>
        <v xml:space="preserve">Vikas       Singh</v>
      </c>
    </row>
    <row r="6" ht="30" customHeight="1">
      <c r="A6" s="41" t="s">
        <v>116</v>
      </c>
      <c r="B6" s="41" t="str">
        <f t="shared" si="0"/>
        <v xml:space="preserve">PAUL      BENGALI</v>
      </c>
      <c r="C6" s="41" t="str">
        <f t="shared" si="1"/>
        <v xml:space="preserve">paul      bengali</v>
      </c>
      <c r="D6" s="41" t="str">
        <f t="shared" si="2"/>
        <v xml:space="preserve">Paul      Bengali</v>
      </c>
    </row>
    <row r="7" ht="30" customHeight="1">
      <c r="A7" s="41" t="s">
        <v>117</v>
      </c>
      <c r="B7" s="41" t="str">
        <f t="shared" si="0"/>
        <v xml:space="preserve">RITISHA        SHARMA</v>
      </c>
      <c r="C7" s="41" t="str">
        <f t="shared" si="1"/>
        <v xml:space="preserve">ritisha        sharma</v>
      </c>
      <c r="D7" s="41" t="str">
        <f t="shared" si="2"/>
        <v xml:space="preserve">Ritisha        Sharma</v>
      </c>
    </row>
    <row r="9" ht="30" customHeight="1">
      <c r="A9" s="38" t="s">
        <v>118</v>
      </c>
      <c r="B9" s="38"/>
      <c r="C9" s="38"/>
      <c r="D9" s="38"/>
    </row>
    <row r="10" ht="30" customHeight="1">
      <c r="A10" s="40" t="s">
        <v>109</v>
      </c>
      <c r="B10" s="40" t="s">
        <v>119</v>
      </c>
      <c r="C10" s="40" t="s">
        <v>120</v>
      </c>
      <c r="D10" s="40" t="s">
        <v>119</v>
      </c>
    </row>
    <row r="11" ht="30" customHeight="1">
      <c r="A11" s="41" t="s">
        <v>113</v>
      </c>
      <c r="B11" s="41">
        <f>LEN(A11)</f>
        <v>17</v>
      </c>
      <c r="C11" s="41" t="str">
        <f>TRIM(A11)</f>
        <v>Satyam Dubey</v>
      </c>
      <c r="D11" s="41">
        <f>LEN(C11)</f>
        <v>12</v>
      </c>
    </row>
    <row r="12" ht="30" customHeight="1">
      <c r="A12" s="41" t="s">
        <v>114</v>
      </c>
      <c r="B12" s="41">
        <f>LEN(A12)</f>
        <v>18</v>
      </c>
      <c r="C12" s="41" t="str">
        <f>TRIM(A12)</f>
        <v>Ishika kh anna</v>
      </c>
      <c r="D12" s="41">
        <f>LEN(C12)</f>
        <v>14</v>
      </c>
    </row>
    <row r="13" ht="30" customHeight="1">
      <c r="A13" s="41" t="s">
        <v>115</v>
      </c>
      <c r="B13" s="41">
        <f t="shared" ref="B13:B16" si="3">LEN(A13)</f>
        <v>17</v>
      </c>
      <c r="C13" s="41" t="str">
        <f t="shared" ref="C13:C16" si="4">TRIM(A13)</f>
        <v>Vikas singh</v>
      </c>
      <c r="D13" s="41">
        <f t="shared" ref="D13:D16" si="5">LEN(C13)</f>
        <v>11</v>
      </c>
    </row>
    <row r="14" ht="30" customHeight="1">
      <c r="A14" s="41" t="s">
        <v>116</v>
      </c>
      <c r="B14" s="41">
        <f t="shared" si="3"/>
        <v>17</v>
      </c>
      <c r="C14" s="41" t="str">
        <f t="shared" si="4"/>
        <v>paul Bengali</v>
      </c>
      <c r="D14" s="41">
        <f t="shared" si="5"/>
        <v>12</v>
      </c>
    </row>
    <row r="15" ht="30" customHeight="1">
      <c r="A15" s="41" t="s">
        <v>117</v>
      </c>
      <c r="B15" s="41">
        <f t="shared" si="3"/>
        <v>21</v>
      </c>
      <c r="C15" s="41" t="str">
        <f t="shared" si="4"/>
        <v>Ritisha Sharma</v>
      </c>
      <c r="D15" s="41">
        <f t="shared" si="5"/>
        <v>14</v>
      </c>
    </row>
    <row r="16" ht="30" customHeight="1">
      <c r="A16" s="41" t="s">
        <v>121</v>
      </c>
      <c r="B16" s="41">
        <f t="shared" si="3"/>
        <v>11</v>
      </c>
      <c r="C16" s="41" t="str">
        <f t="shared" si="4"/>
        <v>Abha Tiwari</v>
      </c>
      <c r="D16" s="41">
        <f t="shared" si="5"/>
        <v>11</v>
      </c>
    </row>
    <row r="18" ht="30" customHeight="1">
      <c r="A18" s="38" t="s">
        <v>122</v>
      </c>
      <c r="B18" s="38"/>
      <c r="C18" s="38"/>
      <c r="D18" s="38"/>
      <c r="E18" s="38"/>
    </row>
    <row r="19" ht="30" customHeight="1">
      <c r="A19" s="40" t="s">
        <v>123</v>
      </c>
      <c r="B19" s="40" t="s">
        <v>124</v>
      </c>
      <c r="C19" s="40" t="s">
        <v>125</v>
      </c>
      <c r="D19" s="40" t="s">
        <v>126</v>
      </c>
      <c r="E19" s="42" t="s">
        <v>127</v>
      </c>
    </row>
    <row r="20" ht="30" customHeight="1">
      <c r="A20" s="41" t="s">
        <v>128</v>
      </c>
      <c r="B20" s="41" t="s">
        <v>129</v>
      </c>
      <c r="C20" s="41" t="str">
        <f>_xlfn.CONCAT(A20,B20)</f>
        <v>SatyamDubey</v>
      </c>
      <c r="D20" s="41" t="str">
        <f>_xlfn.CONCAT(A20, " ", B20)</f>
        <v>Satyam Dubey</v>
      </c>
      <c r="E20" s="41" t="str">
        <f>_xlfn.CONCAT(A20, " ", "&amp;", " ", B20)</f>
        <v>Satyam &amp; Dubey</v>
      </c>
    </row>
    <row r="21" ht="30" customHeight="1">
      <c r="A21" s="41" t="s">
        <v>130</v>
      </c>
      <c r="B21" s="41" t="s">
        <v>131</v>
      </c>
      <c r="C21" s="41" t="str">
        <f t="shared" ref="C21:C24" si="6">_xlfn.CONCAT(A21,B21)</f>
        <v>IshikaKhanna</v>
      </c>
      <c r="D21" s="41" t="str">
        <f>_xlfn.CONCAT(A21, " ", B21)</f>
        <v>Ishika Khanna</v>
      </c>
      <c r="E21" s="41" t="str">
        <f>_xlfn.CONCAT(A21, " ", "&amp;", " ", B21)</f>
        <v>Ishika &amp; Khanna</v>
      </c>
    </row>
    <row r="22" ht="30" customHeight="1">
      <c r="A22" s="41" t="s">
        <v>132</v>
      </c>
      <c r="B22" s="41" t="s">
        <v>133</v>
      </c>
      <c r="C22" s="41" t="str">
        <f t="shared" si="6"/>
        <v>VikashSingh</v>
      </c>
      <c r="D22" s="41" t="str">
        <f t="shared" ref="D22:D24" si="7">_xlfn.CONCAT(A22, " ", B22)</f>
        <v>Vikash Singh</v>
      </c>
      <c r="E22" s="41" t="str">
        <f t="shared" ref="E22:E24" si="8">_xlfn.CONCAT(A22, " ", "&amp;", " ", B22)</f>
        <v>Vikash &amp; Singh</v>
      </c>
    </row>
    <row r="23" ht="30" customHeight="1">
      <c r="A23" s="41" t="s">
        <v>134</v>
      </c>
      <c r="B23" s="41" t="s">
        <v>135</v>
      </c>
      <c r="C23" s="41" t="str">
        <f t="shared" si="6"/>
        <v>PaulBengali</v>
      </c>
      <c r="D23" s="41" t="str">
        <f t="shared" si="7"/>
        <v>Paul Bengali</v>
      </c>
      <c r="E23" s="41" t="str">
        <f t="shared" si="8"/>
        <v>Paul &amp; Bengali</v>
      </c>
    </row>
    <row r="24" ht="30" customHeight="1">
      <c r="A24" s="41" t="s">
        <v>136</v>
      </c>
      <c r="B24" s="41" t="s">
        <v>137</v>
      </c>
      <c r="C24" s="41" t="str">
        <f t="shared" si="6"/>
        <v>AbhaTiwari</v>
      </c>
      <c r="D24" s="41" t="str">
        <f t="shared" si="7"/>
        <v>Abha Tiwari</v>
      </c>
      <c r="E24" s="41" t="str">
        <f t="shared" si="8"/>
        <v>Abha &amp; Tiwari</v>
      </c>
    </row>
  </sheetData>
  <mergeCells count="3">
    <mergeCell ref="A1:D1"/>
    <mergeCell ref="A9:D9"/>
    <mergeCell ref="A18:E18"/>
  </mergeCells>
  <pageSetup r:id="rId1" orientation="portrait"/>
</worksheet>
</file>

<file path=xl/worksheets/sheet6.xml><?xml version="1.0" encoding="utf-8"?>
<worksheet xmlns:r="http://schemas.openxmlformats.org/officeDocument/2006/relationships" xmlns="http://schemas.openxmlformats.org/spreadsheetml/2006/main">
  <sheetPr>
    <tabColor rgb="FFFF99FF"/>
  </sheetPr>
  <sheetViews>
    <sheetView workbookViewId="0" topLeftCell="A7">
      <selection activeCell="L16" sqref="L16"/>
    </sheetView>
  </sheetViews>
  <sheetFormatPr defaultRowHeight="30" customHeight="1"/>
  <cols>
    <col min="3" max="3" width="7.898438" bestFit="1" customWidth="1"/>
    <col min="5" max="5" width="12.19922" bestFit="1" customWidth="1"/>
    <col min="9" max="9" width="9.898438" bestFit="1" customWidth="1"/>
    <col min="12" max="12" width="24.39844" bestFit="1" customWidth="1"/>
    <col min="14" max="14" width="7.699219" bestFit="1" customWidth="1"/>
  </cols>
  <sheetData>
    <row r="1" ht="30" customHeight="1">
      <c r="A1" s="43" t="s">
        <v>138</v>
      </c>
      <c r="B1" s="43" t="s">
        <v>123</v>
      </c>
      <c r="C1" s="43" t="s">
        <v>139</v>
      </c>
      <c r="E1" s="44" t="s">
        <v>140</v>
      </c>
      <c r="F1" s="43" t="s">
        <v>138</v>
      </c>
      <c r="G1" s="43" t="s">
        <v>123</v>
      </c>
      <c r="H1" s="43" t="s">
        <v>139</v>
      </c>
      <c r="I1" s="43" t="s">
        <v>141</v>
      </c>
    </row>
    <row r="2" ht="30" customHeight="1">
      <c r="A2" s="45">
        <v>1</v>
      </c>
      <c r="B2" s="45" t="s">
        <v>142</v>
      </c>
      <c r="C2" s="45">
        <v>100</v>
      </c>
      <c r="F2" s="45">
        <v>1</v>
      </c>
      <c r="G2" s="45" t="s">
        <v>142</v>
      </c>
      <c r="H2" s="45">
        <v>100</v>
      </c>
      <c r="I2" s="45" t="str">
        <f>IF(H2&gt;=120, "PASSED", "FAILED")</f>
        <v>FAILED</v>
      </c>
    </row>
    <row r="3" ht="30" customHeight="1">
      <c r="A3" s="45">
        <v>2</v>
      </c>
      <c r="B3" s="45" t="s">
        <v>143</v>
      </c>
      <c r="C3" s="45">
        <v>200</v>
      </c>
      <c r="F3" s="45">
        <v>2</v>
      </c>
      <c r="G3" s="45" t="s">
        <v>143</v>
      </c>
      <c r="H3" s="45">
        <v>200</v>
      </c>
      <c r="I3" s="45" t="str">
        <f t="shared" ref="I3:I9" si="0">IF(H3&gt;=120, "PASSED", "FAILED")</f>
        <v>PASSED</v>
      </c>
      <c r="L3" t="s">
        <v>144</v>
      </c>
    </row>
    <row r="4" ht="30" customHeight="1">
      <c r="A4" s="45">
        <v>3</v>
      </c>
      <c r="B4" s="45" t="s">
        <v>145</v>
      </c>
      <c r="C4" s="45">
        <v>150</v>
      </c>
      <c r="F4" s="45">
        <v>3</v>
      </c>
      <c r="G4" s="45" t="s">
        <v>145</v>
      </c>
      <c r="H4" s="45">
        <v>150</v>
      </c>
      <c r="I4" s="45" t="str">
        <f t="shared" si="0"/>
        <v>PASSED</v>
      </c>
    </row>
    <row r="5" ht="30" customHeight="1">
      <c r="A5" s="45">
        <v>4</v>
      </c>
      <c r="B5" s="45" t="s">
        <v>146</v>
      </c>
      <c r="C5" s="45">
        <v>120</v>
      </c>
      <c r="F5" s="45">
        <v>4</v>
      </c>
      <c r="G5" s="45" t="s">
        <v>146</v>
      </c>
      <c r="H5" s="45">
        <v>120</v>
      </c>
      <c r="I5" s="45" t="str">
        <f t="shared" si="0"/>
        <v>PASSED</v>
      </c>
    </row>
    <row r="6" ht="30" customHeight="1">
      <c r="A6" s="45">
        <v>5</v>
      </c>
      <c r="B6" s="45" t="s">
        <v>147</v>
      </c>
      <c r="C6" s="45">
        <v>140</v>
      </c>
      <c r="F6" s="45">
        <v>5</v>
      </c>
      <c r="G6" s="45" t="s">
        <v>147</v>
      </c>
      <c r="H6" s="45">
        <v>140</v>
      </c>
      <c r="I6" s="45" t="str">
        <f t="shared" si="0"/>
        <v>PASSED</v>
      </c>
    </row>
    <row r="7" ht="30" customHeight="1">
      <c r="A7" s="45">
        <v>6</v>
      </c>
      <c r="B7" s="45" t="s">
        <v>148</v>
      </c>
      <c r="C7" s="45">
        <v>80</v>
      </c>
      <c r="F7" s="45">
        <v>6</v>
      </c>
      <c r="G7" s="45" t="s">
        <v>148</v>
      </c>
      <c r="H7" s="45">
        <v>80</v>
      </c>
      <c r="I7" s="45" t="str">
        <f t="shared" si="0"/>
        <v>FAILED</v>
      </c>
    </row>
    <row r="8" ht="30" customHeight="1">
      <c r="A8" s="45">
        <v>7</v>
      </c>
      <c r="B8" s="45" t="s">
        <v>149</v>
      </c>
      <c r="C8" s="45">
        <v>130</v>
      </c>
      <c r="F8" s="45">
        <v>7</v>
      </c>
      <c r="G8" s="45" t="s">
        <v>149</v>
      </c>
      <c r="H8" s="45">
        <v>130</v>
      </c>
      <c r="I8" s="45" t="str">
        <f t="shared" si="0"/>
        <v>PASSED</v>
      </c>
    </row>
    <row r="9" ht="30" customHeight="1">
      <c r="A9" s="45">
        <v>8</v>
      </c>
      <c r="B9" s="45" t="s">
        <v>150</v>
      </c>
      <c r="C9" s="45">
        <v>190</v>
      </c>
      <c r="F9" s="45">
        <v>8</v>
      </c>
      <c r="G9" s="45" t="s">
        <v>150</v>
      </c>
      <c r="H9" s="45">
        <v>190</v>
      </c>
      <c r="I9" s="45" t="str">
        <f t="shared" si="0"/>
        <v>PASSED</v>
      </c>
    </row>
  </sheetData>
</worksheet>
</file>

<file path=xl/worksheets/sheet7.xml><?xml version="1.0" encoding="utf-8"?>
<worksheet xmlns:r="http://schemas.openxmlformats.org/officeDocument/2006/relationships" xmlns="http://schemas.openxmlformats.org/spreadsheetml/2006/main">
  <sheetPr>
    <tabColor rgb="FFFFC000"/>
  </sheetPr>
  <sheetViews>
    <sheetView workbookViewId="0">
      <selection activeCell="G9" sqref="G9"/>
    </sheetView>
  </sheetViews>
  <sheetFormatPr defaultColWidth="11.89844" defaultRowHeight="30" customHeight="1"/>
  <cols>
    <col min="1" max="1" width="15.19922" style="3" bestFit="1" customWidth="1"/>
    <col min="2" max="2" width="12.09766" style="3" customWidth="1"/>
    <col min="3" max="3" width="22.69922" style="3" bestFit="1" customWidth="1"/>
    <col min="4" max="4" width="9.898438" style="3" customWidth="1"/>
    <col min="5" max="6" width="11.89844" style="3"/>
    <col min="7" max="7" width="12.19922" style="3" bestFit="1" customWidth="1"/>
    <col min="8" max="8" width="11.19922" style="3" bestFit="1" customWidth="1"/>
    <col min="9" max="16384" width="11.89844" style="3"/>
  </cols>
  <sheetData>
    <row r="1" ht="30" customHeight="1">
      <c r="A1" s="46" t="s">
        <v>50</v>
      </c>
      <c r="B1" s="47" t="s">
        <v>151</v>
      </c>
      <c r="C1" s="47" t="s">
        <v>2</v>
      </c>
      <c r="D1" s="48" t="s">
        <v>152</v>
      </c>
      <c r="G1" s="4" t="s">
        <v>153</v>
      </c>
      <c r="H1" s="4"/>
    </row>
    <row r="2" ht="30" customHeight="1">
      <c r="A2" s="49">
        <v>36531</v>
      </c>
      <c r="B2" s="50" t="s">
        <v>9</v>
      </c>
      <c r="C2" s="51" t="s">
        <v>154</v>
      </c>
      <c r="D2" s="52">
        <v>12000</v>
      </c>
      <c r="G2" s="53" t="s">
        <v>155</v>
      </c>
      <c r="H2" t="s">
        <v>156</v>
      </c>
      <c r="I2"/>
    </row>
    <row r="3" ht="30" customHeight="1">
      <c r="A3" s="49">
        <v>36542</v>
      </c>
      <c r="B3" s="50" t="s">
        <v>9</v>
      </c>
      <c r="C3" s="51" t="s">
        <v>157</v>
      </c>
      <c r="D3" s="52">
        <v>35700</v>
      </c>
      <c r="G3" s="54" t="s">
        <v>6</v>
      </c>
      <c r="H3">
        <v>133300</v>
      </c>
      <c r="I3"/>
    </row>
    <row r="4" ht="30" customHeight="1">
      <c r="A4" s="49">
        <v>36535</v>
      </c>
      <c r="B4" s="50" t="s">
        <v>9</v>
      </c>
      <c r="C4" s="51" t="s">
        <v>157</v>
      </c>
      <c r="D4" s="52">
        <v>42840</v>
      </c>
      <c r="G4" s="54" t="s">
        <v>15</v>
      </c>
      <c r="H4">
        <v>68700</v>
      </c>
      <c r="I4"/>
    </row>
    <row r="5" ht="30" customHeight="1">
      <c r="A5" s="49">
        <v>36530</v>
      </c>
      <c r="B5" s="50" t="s">
        <v>9</v>
      </c>
      <c r="C5" s="51" t="s">
        <v>158</v>
      </c>
      <c r="D5" s="52">
        <v>10000</v>
      </c>
      <c r="G5" s="54" t="s">
        <v>159</v>
      </c>
      <c r="H5">
        <v>202000</v>
      </c>
      <c r="I5"/>
    </row>
    <row r="6" ht="30" customHeight="1">
      <c r="A6" s="49">
        <v>36533</v>
      </c>
      <c r="B6" s="50" t="s">
        <v>21</v>
      </c>
      <c r="C6" s="51" t="s">
        <v>45</v>
      </c>
      <c r="D6" s="52">
        <v>32640</v>
      </c>
      <c r="G6"/>
      <c r="H6"/>
      <c r="I6"/>
    </row>
    <row r="7" ht="30" customHeight="1">
      <c r="A7" s="49">
        <v>36526</v>
      </c>
      <c r="B7" s="50" t="s">
        <v>21</v>
      </c>
      <c r="C7" s="51" t="s">
        <v>160</v>
      </c>
      <c r="D7" s="52">
        <v>4000</v>
      </c>
      <c r="G7"/>
      <c r="H7"/>
      <c r="I7"/>
    </row>
    <row r="8" ht="30" customHeight="1">
      <c r="A8" s="49">
        <v>36528</v>
      </c>
      <c r="B8" s="50" t="s">
        <v>21</v>
      </c>
      <c r="C8" s="51" t="s">
        <v>161</v>
      </c>
      <c r="D8" s="52">
        <v>8000</v>
      </c>
      <c r="G8"/>
      <c r="H8"/>
      <c r="I8"/>
    </row>
    <row r="9" ht="30" customHeight="1">
      <c r="A9" s="49">
        <v>36544</v>
      </c>
      <c r="B9" s="51" t="s">
        <v>21</v>
      </c>
      <c r="C9" s="51" t="s">
        <v>161</v>
      </c>
      <c r="D9" s="52">
        <v>8000</v>
      </c>
      <c r="G9"/>
      <c r="H9"/>
      <c r="I9"/>
    </row>
    <row r="10" ht="30" customHeight="1">
      <c r="A10" s="49">
        <v>36541</v>
      </c>
      <c r="B10" s="50" t="s">
        <v>21</v>
      </c>
      <c r="C10" s="51" t="s">
        <v>157</v>
      </c>
      <c r="D10" s="52">
        <v>42840</v>
      </c>
      <c r="G10"/>
      <c r="H10"/>
      <c r="I10"/>
    </row>
    <row r="11" ht="30" customHeight="1">
      <c r="A11" s="49">
        <v>36545</v>
      </c>
      <c r="B11" s="51" t="s">
        <v>21</v>
      </c>
      <c r="C11" s="51" t="s">
        <v>162</v>
      </c>
      <c r="D11" s="52">
        <v>8000</v>
      </c>
      <c r="G11"/>
      <c r="H11"/>
      <c r="I11"/>
    </row>
    <row r="12" ht="30" customHeight="1">
      <c r="A12" s="49">
        <v>36534</v>
      </c>
      <c r="B12" s="50" t="s">
        <v>21</v>
      </c>
      <c r="C12" s="51" t="s">
        <v>163</v>
      </c>
      <c r="D12" s="52">
        <v>48960</v>
      </c>
      <c r="G12"/>
      <c r="H12"/>
      <c r="I12"/>
    </row>
    <row r="13" ht="30" customHeight="1">
      <c r="A13" s="49">
        <v>36539</v>
      </c>
      <c r="B13" s="50" t="s">
        <v>6</v>
      </c>
      <c r="C13" s="51" t="s">
        <v>45</v>
      </c>
      <c r="D13" s="52">
        <v>32640</v>
      </c>
      <c r="G13"/>
      <c r="H13"/>
      <c r="I13"/>
    </row>
    <row r="14" ht="30" customHeight="1">
      <c r="A14" s="49">
        <v>36538</v>
      </c>
      <c r="B14" s="50" t="s">
        <v>6</v>
      </c>
      <c r="C14" s="51" t="s">
        <v>164</v>
      </c>
      <c r="D14" s="52">
        <v>35700</v>
      </c>
      <c r="G14"/>
      <c r="H14"/>
      <c r="I14"/>
    </row>
    <row r="15" ht="30" customHeight="1">
      <c r="A15" s="49">
        <v>36537</v>
      </c>
      <c r="B15" s="50" t="s">
        <v>6</v>
      </c>
      <c r="C15" s="51" t="s">
        <v>165</v>
      </c>
      <c r="D15" s="52">
        <v>6000</v>
      </c>
      <c r="G15"/>
      <c r="H15"/>
      <c r="I15"/>
    </row>
    <row r="16" ht="30" customHeight="1">
      <c r="A16" s="49">
        <v>36546</v>
      </c>
      <c r="B16" s="51" t="s">
        <v>6</v>
      </c>
      <c r="C16" s="51" t="s">
        <v>158</v>
      </c>
      <c r="D16" s="52">
        <v>10000</v>
      </c>
      <c r="G16"/>
      <c r="H16"/>
      <c r="I16"/>
    </row>
    <row r="17" ht="30" customHeight="1">
      <c r="A17" s="49">
        <v>36540</v>
      </c>
      <c r="B17" s="50" t="s">
        <v>6</v>
      </c>
      <c r="C17" s="51" t="s">
        <v>163</v>
      </c>
      <c r="D17" s="52">
        <v>48960</v>
      </c>
      <c r="G17"/>
      <c r="H17"/>
      <c r="I17"/>
    </row>
    <row r="18" ht="30" customHeight="1">
      <c r="A18" s="49">
        <v>36536</v>
      </c>
      <c r="B18" s="50" t="s">
        <v>15</v>
      </c>
      <c r="C18" s="51" t="s">
        <v>160</v>
      </c>
      <c r="D18" s="52">
        <v>4000</v>
      </c>
      <c r="G18"/>
      <c r="H18"/>
      <c r="I18"/>
    </row>
    <row r="19" ht="30" customHeight="1">
      <c r="A19" s="49">
        <v>36532</v>
      </c>
      <c r="B19" s="50" t="s">
        <v>15</v>
      </c>
      <c r="C19" s="51" t="s">
        <v>164</v>
      </c>
      <c r="D19" s="52">
        <v>3000</v>
      </c>
      <c r="G19"/>
      <c r="H19"/>
      <c r="I19"/>
    </row>
    <row r="20" ht="30" customHeight="1">
      <c r="A20" s="49">
        <v>36527</v>
      </c>
      <c r="B20" s="50" t="s">
        <v>15</v>
      </c>
      <c r="C20" s="51" t="s">
        <v>166</v>
      </c>
      <c r="D20" s="52">
        <v>9000</v>
      </c>
    </row>
    <row r="21" ht="30" customHeight="1">
      <c r="A21" s="49">
        <v>36543</v>
      </c>
      <c r="B21" s="50" t="s">
        <v>15</v>
      </c>
      <c r="C21" s="51" t="s">
        <v>166</v>
      </c>
      <c r="D21" s="52">
        <v>9000</v>
      </c>
    </row>
    <row r="22" ht="30" customHeight="1">
      <c r="A22" s="49">
        <v>36547</v>
      </c>
      <c r="B22" s="51" t="s">
        <v>15</v>
      </c>
      <c r="C22" s="51" t="s">
        <v>157</v>
      </c>
      <c r="D22" s="52">
        <v>35700</v>
      </c>
    </row>
    <row r="23" ht="30" customHeight="1">
      <c r="A23" s="55">
        <v>36529</v>
      </c>
      <c r="B23" s="56" t="s">
        <v>15</v>
      </c>
      <c r="C23" s="57" t="s">
        <v>162</v>
      </c>
      <c r="D23" s="58">
        <v>8000</v>
      </c>
    </row>
  </sheetData>
  <mergeCells count="1">
    <mergeCell ref="G1:H1"/>
  </mergeCells>
  <tableParts count="1">
    <tablePart r:id="rId2"/>
  </tableParts>
</worksheet>
</file>

<file path=xl/worksheets/sheet8.xml><?xml version="1.0" encoding="utf-8"?>
<worksheet xmlns:r="http://schemas.openxmlformats.org/officeDocument/2006/relationships" xmlns="http://schemas.openxmlformats.org/spreadsheetml/2006/main">
  <sheetPr>
    <tabColor rgb="FFFF99FF"/>
  </sheetPr>
  <sheetViews>
    <sheetView zoomScaleNormal="100" workbookViewId="0">
      <selection activeCell="J12" sqref="J12"/>
    </sheetView>
  </sheetViews>
  <sheetFormatPr defaultColWidth="11.69922" defaultRowHeight="18.75"/>
  <cols>
    <col min="1" max="1" width="11.69922" style="59"/>
    <col min="2" max="2" width="14.89844" style="59" customWidth="1"/>
    <col min="3" max="3" width="11.69922" style="59"/>
    <col min="4" max="4" width="18.39844" style="59" customWidth="1"/>
    <col min="5" max="5" width="11.89844" style="59" bestFit="1" customWidth="1"/>
    <col min="6" max="6" width="11.69922" style="59"/>
    <col min="7" max="7" width="13.89844" style="59" bestFit="1" customWidth="1"/>
    <col min="8" max="8" width="14.69922" style="59" bestFit="1" customWidth="1"/>
    <col min="9" max="9" width="21.39844" style="59" bestFit="1" customWidth="1"/>
    <col min="10" max="16384" width="11.69922" style="59"/>
  </cols>
  <sheetData>
    <row r="2" ht="18">
      <c r="B2" s="60" t="s">
        <v>50</v>
      </c>
      <c r="C2" s="60" t="s">
        <v>151</v>
      </c>
      <c r="D2" s="60" t="s">
        <v>2</v>
      </c>
      <c r="E2" s="60" t="s">
        <v>152</v>
      </c>
    </row>
    <row r="3" ht="18">
      <c r="B3" s="61">
        <v>45663</v>
      </c>
      <c r="C3" s="61" t="s">
        <v>9</v>
      </c>
      <c r="D3" s="62" t="s">
        <v>154</v>
      </c>
      <c r="E3" s="63">
        <v>12025</v>
      </c>
      <c r="G3" s="64" t="s">
        <v>167</v>
      </c>
      <c r="H3" s="64" t="s">
        <v>168</v>
      </c>
      <c r="I3" s="64" t="s">
        <v>169</v>
      </c>
    </row>
    <row r="4" ht="18">
      <c r="B4" s="61">
        <v>45674</v>
      </c>
      <c r="C4" s="61" t="s">
        <v>9</v>
      </c>
      <c r="D4" s="62" t="s">
        <v>45</v>
      </c>
      <c r="E4" s="65">
        <v>35700</v>
      </c>
      <c r="F4" s="66" t="s">
        <v>170</v>
      </c>
      <c r="G4" s="67">
        <f>SUMIF($C$3:$C$24,"EAST",$E$3:$E$24)</f>
        <v>133205</v>
      </c>
      <c r="H4" s="67">
        <f>AVERAGEIF(C3:C24,"EAST",E3:E24)</f>
        <v>26641</v>
      </c>
      <c r="I4" s="41"/>
    </row>
    <row r="5" ht="18">
      <c r="B5" s="61">
        <v>45667</v>
      </c>
      <c r="C5" s="61" t="s">
        <v>9</v>
      </c>
      <c r="D5" s="62" t="s">
        <v>45</v>
      </c>
      <c r="E5" s="65">
        <v>42840</v>
      </c>
      <c r="F5" s="66" t="s">
        <v>171</v>
      </c>
      <c r="G5" s="67">
        <f>SUMIF($C$3:$C$24,"WEST",$E$3:$E$24)</f>
        <v>64700</v>
      </c>
      <c r="H5" s="67">
        <f>AVERAGEIF(C4:C25,"WEST",E4:E25)</f>
        <v>12940</v>
      </c>
      <c r="I5" s="41"/>
    </row>
    <row r="6" ht="18">
      <c r="B6" s="61">
        <v>45662</v>
      </c>
      <c r="C6" s="61" t="s">
        <v>9</v>
      </c>
      <c r="D6" s="62" t="s">
        <v>158</v>
      </c>
      <c r="E6" s="65">
        <v>10000</v>
      </c>
      <c r="F6" s="66" t="s">
        <v>172</v>
      </c>
      <c r="G6" s="67">
        <f>SUMIF($C$3:$C$24,"NORTH",$E$3:$E$24)</f>
        <v>194140</v>
      </c>
      <c r="H6" s="67">
        <f>AVERAGEIF(C5:C26,"NORTH",E5:E26)</f>
        <v>21571.111111111109</v>
      </c>
      <c r="I6" s="41"/>
    </row>
    <row r="7" ht="18">
      <c r="B7" s="61">
        <v>45665</v>
      </c>
      <c r="C7" s="61" t="s">
        <v>9</v>
      </c>
      <c r="D7" s="62" t="s">
        <v>45</v>
      </c>
      <c r="E7" s="65">
        <v>32640</v>
      </c>
      <c r="F7" s="66" t="s">
        <v>173</v>
      </c>
      <c r="G7" s="67">
        <f>SUMIF($C$3:$C$24,"SOUTH",$E$3:$E$24)</f>
        <v>62960</v>
      </c>
      <c r="H7" s="67">
        <f>AVERAGEIF(C6:C27,"SOUTH",E6:E27)</f>
        <v>20986.666666666668</v>
      </c>
      <c r="I7" s="41"/>
    </row>
    <row r="8" ht="18">
      <c r="B8" s="61">
        <v>45658</v>
      </c>
      <c r="C8" s="61" t="s">
        <v>21</v>
      </c>
      <c r="D8" s="62" t="s">
        <v>160</v>
      </c>
      <c r="E8" s="63">
        <v>4000</v>
      </c>
    </row>
    <row r="9" ht="18">
      <c r="B9" s="61">
        <v>45660</v>
      </c>
      <c r="C9" s="61" t="s">
        <v>21</v>
      </c>
      <c r="D9" s="62" t="s">
        <v>161</v>
      </c>
      <c r="E9" s="63">
        <v>8000</v>
      </c>
    </row>
    <row r="10" ht="18">
      <c r="B10" s="61">
        <v>45676</v>
      </c>
      <c r="C10" s="61" t="s">
        <v>21</v>
      </c>
      <c r="D10" s="62" t="s">
        <v>161</v>
      </c>
      <c r="E10" s="63">
        <v>8000</v>
      </c>
    </row>
    <row r="11" ht="18">
      <c r="B11" s="61">
        <v>45673</v>
      </c>
      <c r="C11" s="62" t="s">
        <v>21</v>
      </c>
      <c r="D11" s="62" t="s">
        <v>157</v>
      </c>
      <c r="E11" s="63">
        <v>42840</v>
      </c>
    </row>
    <row r="12" ht="18">
      <c r="B12" s="61">
        <v>45677</v>
      </c>
      <c r="C12" s="62" t="s">
        <v>21</v>
      </c>
      <c r="D12" s="62" t="s">
        <v>162</v>
      </c>
      <c r="E12" s="63">
        <v>8000</v>
      </c>
    </row>
    <row r="13" ht="18">
      <c r="B13" s="61">
        <v>45666</v>
      </c>
      <c r="C13" s="61" t="s">
        <v>21</v>
      </c>
      <c r="D13" s="62" t="s">
        <v>163</v>
      </c>
      <c r="E13" s="63">
        <v>48960</v>
      </c>
    </row>
    <row r="14" ht="18">
      <c r="B14" s="61">
        <v>45671</v>
      </c>
      <c r="C14" s="61" t="s">
        <v>21</v>
      </c>
      <c r="D14" s="62" t="s">
        <v>45</v>
      </c>
      <c r="E14" s="63">
        <v>32640</v>
      </c>
    </row>
    <row r="15" ht="18">
      <c r="B15" s="61">
        <v>45670</v>
      </c>
      <c r="C15" s="62" t="s">
        <v>21</v>
      </c>
      <c r="D15" s="62" t="s">
        <v>45</v>
      </c>
      <c r="E15" s="63">
        <v>35700</v>
      </c>
    </row>
    <row r="16" ht="18">
      <c r="B16" s="61">
        <v>45669</v>
      </c>
      <c r="C16" s="61" t="s">
        <v>21</v>
      </c>
      <c r="D16" s="62" t="s">
        <v>165</v>
      </c>
      <c r="E16" s="63">
        <v>6000</v>
      </c>
    </row>
    <row r="17" ht="18">
      <c r="B17" s="61">
        <v>45678</v>
      </c>
      <c r="C17" s="61" t="s">
        <v>6</v>
      </c>
      <c r="D17" s="62" t="s">
        <v>158</v>
      </c>
      <c r="E17" s="63">
        <v>10000</v>
      </c>
    </row>
    <row r="18" ht="18">
      <c r="B18" s="61">
        <v>45672</v>
      </c>
      <c r="C18" s="62" t="s">
        <v>6</v>
      </c>
      <c r="D18" s="62" t="s">
        <v>163</v>
      </c>
      <c r="E18" s="63">
        <v>48960</v>
      </c>
    </row>
    <row r="19" ht="18">
      <c r="B19" s="61">
        <v>45668</v>
      </c>
      <c r="C19" s="61" t="s">
        <v>6</v>
      </c>
      <c r="D19" s="62" t="s">
        <v>160</v>
      </c>
      <c r="E19" s="63">
        <v>4000</v>
      </c>
    </row>
    <row r="20" ht="18">
      <c r="B20" s="61">
        <v>45664</v>
      </c>
      <c r="C20" s="61" t="s">
        <v>15</v>
      </c>
      <c r="D20" s="62" t="s">
        <v>164</v>
      </c>
      <c r="E20" s="63">
        <v>3000</v>
      </c>
    </row>
    <row r="21" ht="18">
      <c r="B21" s="61">
        <v>45659</v>
      </c>
      <c r="C21" s="61" t="s">
        <v>15</v>
      </c>
      <c r="D21" s="62" t="s">
        <v>166</v>
      </c>
      <c r="E21" s="63">
        <v>9000</v>
      </c>
    </row>
    <row r="22" ht="18">
      <c r="B22" s="61">
        <v>45675</v>
      </c>
      <c r="C22" s="61" t="s">
        <v>15</v>
      </c>
      <c r="D22" s="62" t="s">
        <v>166</v>
      </c>
      <c r="E22" s="63">
        <v>9000</v>
      </c>
    </row>
    <row r="23" ht="18">
      <c r="B23" s="61">
        <v>45679</v>
      </c>
      <c r="C23" s="61" t="s">
        <v>15</v>
      </c>
      <c r="D23" s="62" t="s">
        <v>157</v>
      </c>
      <c r="E23" s="63">
        <v>35700</v>
      </c>
    </row>
    <row r="24" ht="18">
      <c r="B24" s="61">
        <v>45661</v>
      </c>
      <c r="C24" s="61" t="s">
        <v>15</v>
      </c>
      <c r="D24" s="62" t="s">
        <v>162</v>
      </c>
      <c r="E24" s="63">
        <v>8000</v>
      </c>
    </row>
  </sheetData>
  <autoFilter ref="B2:E2"/>
</worksheet>
</file>

<file path=xl/worksheets/sheet9.xml><?xml version="1.0" encoding="utf-8"?>
<worksheet xmlns:r="http://schemas.openxmlformats.org/officeDocument/2006/relationships" xmlns="http://schemas.openxmlformats.org/spreadsheetml/2006/main">
  <sheetPr>
    <tabColor rgb="FFFFFF00"/>
  </sheetPr>
  <sheetViews>
    <sheetView zoomScale="115" zoomScaleNormal="115" workbookViewId="0">
      <selection activeCell="F15" sqref="F15"/>
    </sheetView>
  </sheetViews>
  <sheetFormatPr defaultColWidth="13" defaultRowHeight="15.75"/>
  <cols>
    <col min="6" max="6" width="25.19922" customWidth="1"/>
  </cols>
  <sheetData>
    <row r="1" ht="15.6">
      <c r="A1" s="68"/>
      <c r="B1" s="69" t="s">
        <v>138</v>
      </c>
      <c r="C1" s="69" t="s">
        <v>123</v>
      </c>
      <c r="D1" s="69" t="s">
        <v>139</v>
      </c>
      <c r="E1" s="69" t="s">
        <v>141</v>
      </c>
      <c r="F1" s="70"/>
      <c r="G1" s="68"/>
      <c r="H1" s="68"/>
      <c r="I1" s="68"/>
      <c r="J1" s="68"/>
      <c r="K1" s="68"/>
      <c r="L1" s="68"/>
      <c r="M1" s="68"/>
      <c r="N1" s="68"/>
      <c r="O1" s="68"/>
      <c r="P1" s="68"/>
      <c r="Q1" s="68"/>
      <c r="R1" s="68"/>
      <c r="S1" s="68"/>
      <c r="T1" s="68"/>
      <c r="U1" s="68"/>
      <c r="V1" s="68"/>
      <c r="W1" s="68"/>
      <c r="X1" s="68"/>
      <c r="Y1" s="68"/>
      <c r="Z1" s="68"/>
    </row>
    <row r="2" ht="15.6">
      <c r="A2" s="68"/>
      <c r="B2" s="71">
        <v>1</v>
      </c>
      <c r="C2" s="71" t="s">
        <v>142</v>
      </c>
      <c r="D2" s="71">
        <v>130</v>
      </c>
      <c r="E2" s="71" t="s">
        <v>174</v>
      </c>
      <c r="F2" s="72" t="s">
        <v>175</v>
      </c>
      <c r="G2" s="68"/>
      <c r="H2" s="71" t="str">
        <f t="array" ref="H2">_xlfn.IFS(D2 &gt; 120,"PASSED",D2&lt;100,"FAILED")</f>
        <v>PASSED</v>
      </c>
      <c r="I2" s="73" t="s">
        <v>176</v>
      </c>
      <c r="J2" s="68"/>
      <c r="K2" s="68"/>
      <c r="L2" s="68"/>
      <c r="M2" s="68"/>
      <c r="N2" s="68"/>
      <c r="O2" s="68"/>
      <c r="P2" s="68"/>
      <c r="Q2" s="68"/>
      <c r="R2" s="68"/>
      <c r="S2" s="68"/>
      <c r="T2" s="68"/>
      <c r="U2" s="68"/>
      <c r="V2" s="68"/>
      <c r="W2" s="68"/>
      <c r="X2" s="68"/>
      <c r="Y2" s="68"/>
      <c r="Z2" s="68"/>
    </row>
    <row r="3" ht="15.6">
      <c r="A3" s="68"/>
      <c r="B3" s="71">
        <v>2</v>
      </c>
      <c r="C3" s="71" t="s">
        <v>143</v>
      </c>
      <c r="D3" s="71">
        <v>90</v>
      </c>
      <c r="E3" s="71" t="s">
        <v>174</v>
      </c>
      <c r="F3" s="72"/>
      <c r="G3" s="68"/>
      <c r="H3" s="71" t="str">
        <f t="array" ref="H3">_xlfn.IFS(D4 &gt; 120,"PASSED",D4&lt;100,"FAILED")</f>
        <v>PASSED</v>
      </c>
      <c r="I3" s="73"/>
      <c r="J3" s="68"/>
      <c r="K3" s="68"/>
      <c r="L3" s="68"/>
      <c r="M3" s="68"/>
      <c r="N3" s="68"/>
      <c r="O3" s="68"/>
      <c r="P3" s="68"/>
      <c r="Q3" s="68"/>
      <c r="R3" s="68"/>
      <c r="S3" s="68"/>
      <c r="T3" s="68"/>
      <c r="U3" s="68"/>
      <c r="V3" s="68"/>
      <c r="W3" s="68"/>
      <c r="X3" s="68"/>
      <c r="Y3" s="68"/>
      <c r="Z3" s="68"/>
    </row>
    <row r="4" ht="15.6">
      <c r="A4" s="68"/>
      <c r="B4" s="71">
        <v>3</v>
      </c>
      <c r="C4" s="71" t="s">
        <v>145</v>
      </c>
      <c r="D4" s="71">
        <v>150</v>
      </c>
      <c r="E4" s="71" t="s">
        <v>174</v>
      </c>
      <c r="F4" s="72"/>
      <c r="G4" s="68"/>
      <c r="H4" s="71" t="s">
        <v>177</v>
      </c>
      <c r="I4" s="73"/>
      <c r="J4" s="68"/>
      <c r="K4" s="68"/>
      <c r="L4" s="68"/>
      <c r="M4" s="68"/>
      <c r="N4" s="68"/>
      <c r="O4" s="68"/>
      <c r="P4" s="68"/>
      <c r="Q4" s="68"/>
      <c r="R4" s="68"/>
      <c r="S4" s="68"/>
      <c r="T4" s="68"/>
      <c r="U4" s="68"/>
      <c r="V4" s="68"/>
      <c r="W4" s="68"/>
      <c r="X4" s="68"/>
      <c r="Y4" s="68"/>
      <c r="Z4" s="68"/>
    </row>
    <row r="5" ht="15.6">
      <c r="A5" s="68"/>
      <c r="B5" s="71">
        <v>4</v>
      </c>
      <c r="C5" s="71" t="s">
        <v>146</v>
      </c>
      <c r="D5" s="71">
        <v>120</v>
      </c>
      <c r="E5" s="71" t="s">
        <v>174</v>
      </c>
      <c r="F5" s="72"/>
      <c r="G5" s="68"/>
      <c r="H5" s="68"/>
      <c r="I5" s="68"/>
      <c r="J5" s="68"/>
      <c r="K5" s="68"/>
      <c r="L5" s="68"/>
      <c r="M5" s="68"/>
      <c r="N5" s="68"/>
      <c r="O5" s="68"/>
      <c r="P5" s="68"/>
      <c r="Q5" s="68"/>
      <c r="R5" s="68"/>
      <c r="S5" s="68"/>
      <c r="T5" s="68"/>
      <c r="U5" s="68"/>
      <c r="V5" s="68"/>
      <c r="W5" s="68"/>
      <c r="X5" s="68"/>
      <c r="Y5" s="68"/>
      <c r="Z5" s="68"/>
    </row>
    <row r="6" ht="15.6">
      <c r="A6" s="68"/>
      <c r="B6" s="71">
        <v>5</v>
      </c>
      <c r="C6" s="71" t="s">
        <v>147</v>
      </c>
      <c r="D6" s="71">
        <v>140</v>
      </c>
      <c r="E6" s="71" t="s">
        <v>174</v>
      </c>
      <c r="F6" s="72"/>
      <c r="G6" s="68"/>
      <c r="H6" s="68"/>
      <c r="I6" s="68"/>
      <c r="J6" s="68"/>
      <c r="K6" s="68"/>
      <c r="L6" s="68"/>
      <c r="M6" s="68"/>
      <c r="N6" s="68"/>
      <c r="O6" s="68"/>
      <c r="P6" s="68"/>
      <c r="Q6" s="68"/>
      <c r="R6" s="68"/>
      <c r="S6" s="68"/>
      <c r="T6" s="68"/>
      <c r="U6" s="68"/>
      <c r="V6" s="68"/>
      <c r="W6" s="68"/>
      <c r="X6" s="68"/>
      <c r="Y6" s="68"/>
      <c r="Z6" s="68"/>
    </row>
    <row r="7" ht="15.6">
      <c r="A7" s="68"/>
      <c r="B7" s="71">
        <v>6</v>
      </c>
      <c r="C7" s="71" t="s">
        <v>148</v>
      </c>
      <c r="D7" s="71">
        <v>80</v>
      </c>
      <c r="E7" s="71" t="s">
        <v>178</v>
      </c>
      <c r="F7" s="72"/>
      <c r="G7" s="68"/>
      <c r="H7" s="68"/>
      <c r="I7" s="68"/>
      <c r="J7" s="68"/>
      <c r="K7" s="68"/>
      <c r="L7" s="68"/>
      <c r="M7" s="68"/>
      <c r="N7" s="68"/>
      <c r="O7" s="68"/>
      <c r="P7" s="68"/>
      <c r="Q7" s="68"/>
      <c r="R7" s="68"/>
      <c r="S7" s="68"/>
      <c r="T7" s="68"/>
      <c r="U7" s="68"/>
      <c r="V7" s="68"/>
      <c r="W7" s="68"/>
      <c r="X7" s="68"/>
      <c r="Y7" s="68"/>
      <c r="Z7" s="68"/>
    </row>
    <row r="8" ht="15.6">
      <c r="A8" s="68"/>
      <c r="B8" s="71">
        <v>7</v>
      </c>
      <c r="C8" s="71" t="s">
        <v>149</v>
      </c>
      <c r="D8" s="71">
        <v>130</v>
      </c>
      <c r="E8" s="71" t="s">
        <v>174</v>
      </c>
      <c r="F8" s="72"/>
      <c r="G8" s="68"/>
      <c r="H8" s="68"/>
      <c r="I8" s="68"/>
      <c r="J8" s="68"/>
      <c r="K8" s="68"/>
      <c r="L8" s="68"/>
      <c r="M8" s="68"/>
      <c r="N8" s="68"/>
      <c r="O8" s="68"/>
      <c r="P8" s="68"/>
      <c r="Q8" s="68"/>
      <c r="R8" s="68"/>
      <c r="S8" s="68"/>
      <c r="T8" s="68"/>
      <c r="U8" s="68"/>
      <c r="V8" s="68"/>
      <c r="W8" s="68"/>
      <c r="X8" s="68"/>
      <c r="Y8" s="68"/>
      <c r="Z8" s="68"/>
    </row>
    <row r="9" ht="15.6">
      <c r="A9" s="68"/>
      <c r="B9" s="71">
        <v>8</v>
      </c>
      <c r="C9" s="71" t="s">
        <v>150</v>
      </c>
      <c r="D9" s="71">
        <v>190</v>
      </c>
      <c r="E9" s="71" t="s">
        <v>174</v>
      </c>
      <c r="F9" s="72"/>
      <c r="G9" s="68"/>
      <c r="H9" s="68"/>
      <c r="I9" s="68"/>
      <c r="J9" s="68"/>
      <c r="K9" s="68"/>
      <c r="L9" s="68"/>
      <c r="M9" s="68"/>
      <c r="N9" s="68"/>
      <c r="O9" s="68"/>
      <c r="P9" s="68"/>
      <c r="Q9" s="68"/>
      <c r="R9" s="68"/>
      <c r="S9" s="68"/>
      <c r="T9" s="68"/>
      <c r="U9" s="68"/>
      <c r="V9" s="68"/>
      <c r="W9" s="68"/>
      <c r="X9" s="68"/>
      <c r="Y9" s="68"/>
      <c r="Z9" s="68"/>
    </row>
    <row r="10" ht="15.6">
      <c r="A10" s="68"/>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ht="15.6">
      <c r="A11" s="68"/>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ht="15.6">
      <c r="A12" s="68"/>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ht="31.2">
      <c r="A13" s="68"/>
      <c r="B13" s="68"/>
      <c r="C13" s="68"/>
      <c r="D13" s="68"/>
      <c r="E13" s="68"/>
      <c r="F13" s="68" t="s">
        <v>179</v>
      </c>
      <c r="G13" s="68"/>
      <c r="H13" s="68"/>
      <c r="I13" s="68"/>
      <c r="J13" s="68"/>
      <c r="K13" s="68"/>
      <c r="L13" s="68"/>
      <c r="M13" s="68"/>
      <c r="N13" s="68"/>
      <c r="O13" s="68"/>
      <c r="P13" s="68"/>
      <c r="Q13" s="68"/>
      <c r="R13" s="68"/>
      <c r="S13" s="68"/>
      <c r="T13" s="68"/>
      <c r="U13" s="68"/>
      <c r="V13" s="68"/>
      <c r="W13" s="68"/>
      <c r="X13" s="68"/>
      <c r="Y13" s="68"/>
      <c r="Z13" s="68"/>
    </row>
    <row r="14" ht="15.6">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15.6">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5.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15.6">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15.6">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15.6">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15.6">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5.6">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5.6">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5.6">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5.6">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5.6">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5.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5.6">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5.6">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5.6">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5.6">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5.6">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5.6">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5.6">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5.6">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5.6">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5.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5.6">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5.6">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5.6">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5.6">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5.6">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5.6">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5.6">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5.6">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5.6">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5.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5.6">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5.6">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5.6">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5.6">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5.6">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5.6">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5.6">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5.6">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5.6">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5.6">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5.6">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5.6">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5.6">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5.6">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5.6">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5.6">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5.6">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5.6">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5.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5.6">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5.6">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5.6">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5.6">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5.6">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5.6">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5.6">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5.6">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5.6">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5.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5.6">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5.6">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5.6">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5.6">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5.6">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5.6">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5.6">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5.6">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5.6">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5.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5.6">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5.6">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5.6">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5.6">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5.6">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5.6">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5.6">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5.6">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5.6">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5.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5.6">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5.6">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5.6">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5.6">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5.6">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5.6">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5.6">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5.6">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5.6">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5.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5.6">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5.6">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5.6">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5.6">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5.6">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5.6">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5.6">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5.6">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5.6">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5.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5.6">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5.6">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5.6">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5.6">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5.6">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5.6">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5.6">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5.6">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5.6">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5.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5.6">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5.6">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5.6">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5.6">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5.6">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5.6">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5.6">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5.6">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5.6">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5.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5.6">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5.6">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5.6">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5.6">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5.6">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5.6">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5.6">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5.6">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5.6">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5.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5.6">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5.6">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5.6">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5.6">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5.6">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5.6">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5.6">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5.6">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5.6">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5.6">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5.6">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5.6">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5.6">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5.6">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5.6">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5.6">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5.6">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5.6">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5.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5.6">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5.6">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5.6">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5.6">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5.6">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5.6">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5.6">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5.6">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5.6">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5.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5.6">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5.6">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5.6">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5.6">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5.6">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5.6">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5.6">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5.6">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5.6">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5.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5.6">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5.6">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5.6">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5.6">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5.6">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5.6">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5.6">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5.6">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5.6">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5.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5.6">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5.6">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5.6">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5.6">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5.6">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5.6">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5.6">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5.6">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5.6">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5.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5.6">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5.6">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5.6">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5.6">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5.6">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5.6">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5.6">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5.6">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5.6">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5.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5.6">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5.6">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5.6">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5.6">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5.6">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5.6">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5.6">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5.6">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5.6">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5.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5.6">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5.6">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5.6">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5.6">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5.6">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5.6">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5.6">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5.6">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5.6">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5.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5.6">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5.6">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5.6">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5.6">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5.6">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5.6">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5.6">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5.6">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5.6">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5.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5.6">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5.6">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5.6">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5.6">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5.6">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5.6">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5.6">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5.6">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5.6">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5.6">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5.6">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5.6">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5.6">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5.6">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5.6">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5.6">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5.6">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5.6">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5.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5.6">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5.6">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5.6">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5.6">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5.6">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5.6">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5.6">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5.6">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5.6">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5.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5.6">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5.6">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5.6">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5.6">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5.6">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5.6">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5.6">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5.6">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5.6">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5.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5.6">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5.6">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5.6">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5.6">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5.6">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5.6">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5.6">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5.6">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5.6">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5.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5.6">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5.6">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5.6">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5.6">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5.6">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5.6">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5.6">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5.6">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5.6">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5.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5.6">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5.6">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5.6">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5.6">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5.6">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5.6">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5.6">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5.6">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5.6">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5.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5.6">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5.6">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5.6">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5.6">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5.6">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5.6">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5.6">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5.6">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5.6">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5.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5.6">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5.6">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5.6">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5.6">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5.6">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5.6">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5.6">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5.6">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5.6">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5.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5.6">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5.6">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5.6">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5.6">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5.6">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5.6">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5.6">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5.6">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5.6">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5.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5.6">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5.6">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5.6">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5.6">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5.6">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5.6">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5.6">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5.6">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5.6">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5.6">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5.6">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5.6">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5.6">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5.6">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5.6">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5.6">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5.6">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5.6">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5.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5.6">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5.6">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5.6">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5.6">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5.6">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5.6">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5.6">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5.6">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5.6">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5.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5.6">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5.6">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5.6">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5.6">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5.6">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5.6">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5.6">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5.6">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5.6">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5.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5.6">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5.6">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5.6">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5.6">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5.6">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5.6">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5.6">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5.6">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5.6">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5.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5.6">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5.6">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5.6">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5.6">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5.6">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5.6">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5.6">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5.6">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5.6">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5.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5.6">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5.6">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5.6">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5.6">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5.6">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5.6">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5.6">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5.6">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5.6">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5.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5.6">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5.6">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5.6">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5.6">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5.6">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5.6">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5.6">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5.6">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5.6">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5.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5.6">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5.6">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5.6">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5.6">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5.6">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5.6">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5.6">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5.6">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5.6">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5.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5.6">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5.6">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5.6">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5.6">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5.6">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5.6">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5.6">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5.6">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5.6">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5.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5.6">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5.6">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5.6">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5.6">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5.6">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5.6">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5.6">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5.6">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5.6">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5.6">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5.6">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5.6">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5.6">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5.6">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5.6">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5.6">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5.6">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5.6">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5.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5.6">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5.6">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5.6">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5.6">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5.6">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5.6">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5.6">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5.6">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5.6">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5.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5.6">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5.6">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5.6">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5.6">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5.6">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5.6">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5.6">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5.6">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5.6">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5.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5.6">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5.6">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5.6">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5.6">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5.6">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5.6">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5.6">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5.6">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5.6">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5.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5.6">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5.6">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5.6">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5.6">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5.6">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5.6">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5.6">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5.6">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5.6">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5.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5.6">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5.6">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5.6">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5.6">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5.6">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5.6">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5.6">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5.6">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5.6">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5.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5.6">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5.6">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5.6">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5.6">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5.6">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5.6">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5.6">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5.6">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5.6">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5.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5.6">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5.6">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5.6">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5.6">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5.6">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5.6">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5.6">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5.6">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5.6">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5.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5.6">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5.6">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5.6">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5.6">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5.6">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5.6">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5.6">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5.6">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5.6">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5.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5.6">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5.6">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5.6">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5.6">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5.6">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5.6">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5.6">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5.6">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5.6">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5.6">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5.6">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5.6">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5.6">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5.6">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5.6">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5.6">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5.6">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5.6">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5.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5.6">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5.6">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5.6">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5.6">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5.6">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5.6">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5.6">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5.6">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5.6">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5.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5.6">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5.6">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5.6">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5.6">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5.6">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5.6">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5.6">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5.6">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5.6">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5.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5.6">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5.6">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5.6">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5.6">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5.6">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5.6">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5.6">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5.6">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5.6">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5.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5.6">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5.6">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5.6">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5.6">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5.6">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5.6">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5.6">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5.6">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5.6">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5.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5.6">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5.6">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5.6">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5.6">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5.6">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5.6">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5.6">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5.6">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5.6">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5.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5.6">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5.6">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5.6">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5.6">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5.6">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5.6">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5.6">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5.6">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5.6">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5.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5.6">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5.6">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5.6">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5.6">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5.6">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5.6">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5.6">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5.6">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5.6">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5.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5.6">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5.6">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5.6">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5.6">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5.6">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5.6">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5.6">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5.6">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5.6">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5.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5.6">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5.6">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5.6">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5.6">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5.6">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5.6">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5.6">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5.6">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5.6">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5.6">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5.6">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5.6">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5.6">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5.6">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5.6">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5.6">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5.6">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5.6">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5.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5.6">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5.6">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5.6">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5.6">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5.6">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5.6">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5.6">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5.6">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5.6">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5.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5.6">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5.6">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5.6">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5.6">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5.6">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5.6">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5.6">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5.6">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5.6">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5.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5.6">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5.6">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5.6">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5.6">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5.6">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5.6">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5.6">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5.6">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5.6">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5.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5.6">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5.6">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5.6">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5.6">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5.6">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5.6">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5.6">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5.6">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5.6">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5.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5.6">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5.6">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5.6">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5.6">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5.6">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5.6">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5.6">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5.6">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5.6">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5.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5.6">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5.6">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5.6">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5.6">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5.6">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5.6">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5.6">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5.6">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5.6">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5.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5.6">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5.6">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5.6">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5.6">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5.6">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5.6">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5.6">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5.6">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5.6">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5.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5.6">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5.6">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5.6">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5.6">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5.6">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5.6">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5.6">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5.6">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5.6">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5.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5.6">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5.6">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5.6">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5.6">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5.6">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5.6">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5.6">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5.6">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5.6">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5.6">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5.6">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5.6">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5.6">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5.6">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5.6">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5.6">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5.6">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5.6">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5.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5.6">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5.6">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5.6">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5.6">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5.6">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5.6">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5.6">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5.6">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5.6">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5.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5.6">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5.6">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5.6">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5.6">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5.6">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5.6">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5.6">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5.6">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5.6">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5.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5.6">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5.6">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5.6">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5.6">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5.6">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5.6">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5.6">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5.6">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5.6">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5.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5.6">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5.6">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5.6">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5.6">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5.6">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5.6">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5.6">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5.6">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5.6">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5.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5.6">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5.6">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5.6">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5.6">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5.6">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5.6">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5.6">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5.6">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5.6">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5.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5.6">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5.6">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5.6">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5.6">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5.6">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5.6">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5.6">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5.6">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5.6">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5.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5.6">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5.6">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5.6">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5.6">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5.6">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5.6">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5.6">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5.6">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5.6">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5.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5.6">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5.6">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5.6">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5.6">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5.6">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5.6">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5.6">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5.6">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5.6">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5.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5.6">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5.6">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5.6">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5.6">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5.6">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5.6">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5.6">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5.6">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5.6">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5.6">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5.6">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5.6">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5.6">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5.6">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5.6">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5.6">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5.6">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5.6">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5.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5.6">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5.6">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5.6">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5.6">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5.6">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5.6">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5.6">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5.6">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5.6">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5.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5.6">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5.6">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5.6">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5.6">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5.6">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5.6">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5.6">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5.6">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5.6">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5.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5.6">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5.6">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5.6">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5.6">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5.6">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5.6">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5.6">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5.6">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5.6">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5.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5.6">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5.6">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5.6">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5.6">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5.6">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5.6">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5.6">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5.6">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5.6">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5.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5.6">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5.6">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5.6">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5.6">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5.6">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5.6">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5.6">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5.6">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5.6">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5.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5.6">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5.6">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5.6">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5.6">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5.6">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5.6">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5.6">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5.6">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5.6">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5.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5.6">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5.6">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5.6">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5.6">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5.6">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5.6">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5.6">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5.6">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5.6">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5.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5.6">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5.6">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5.6">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5.6">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5.6">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5.6">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5.6">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5.6">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5.6">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5.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5.6">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5.6">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5.6">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5.6">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5.6">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5.6">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5.6">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5.6">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5.6">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5.6">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5.6">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5.6">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5.6">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5.6">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5.6">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5.6">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5.6">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5.6">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5.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5.6">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5.6">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5.6">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5.6">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5.6">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5.6">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5.6">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5.6">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5.6">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5.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5.6">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5.6">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5.6">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5.6">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5.6">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5.6">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5.6">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5.6">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5.6">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5.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5.6">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5.6">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5.6">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5.6">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5.6">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5.6">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5.6">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5.6">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5.6">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5.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5.6">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5.6">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5.6">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sheetData>
  <mergeCells count="2">
    <mergeCell ref="F2:F9"/>
    <mergeCell ref="I2:I4"/>
  </mergeCells>
</worksheet>
</file>

<file path=xl/worksheets/sheet10.xml><?xml version="1.0" encoding="utf-8"?>
<worksheet xmlns:r="http://schemas.openxmlformats.org/officeDocument/2006/relationships" xmlns="http://schemas.openxmlformats.org/spreadsheetml/2006/main">
  <sheetPr>
    <tabColor rgb="FFFF99FF"/>
  </sheetPr>
  <sheetViews>
    <sheetView workbookViewId="0">
      <selection activeCell="I15" sqref="I15"/>
    </sheetView>
  </sheetViews>
  <sheetFormatPr defaultRowHeight="15.75"/>
  <cols>
    <col min="1" max="1" width="15.19922" bestFit="1" customWidth="1"/>
    <col min="2" max="2" width="11.89844" customWidth="1"/>
    <col min="3" max="3" width="22.39844" bestFit="1" customWidth="1"/>
    <col min="4" max="4" width="9.5" customWidth="1"/>
  </cols>
  <sheetData>
    <row r="1" ht="23.25">
      <c r="A1" s="46" t="s">
        <v>50</v>
      </c>
      <c r="B1" s="47" t="s">
        <v>151</v>
      </c>
      <c r="C1" s="47" t="s">
        <v>2</v>
      </c>
      <c r="D1" s="48" t="s">
        <v>152</v>
      </c>
      <c r="F1" s="74" t="s">
        <v>180</v>
      </c>
    </row>
    <row r="2" ht="23.25">
      <c r="A2" s="49">
        <v>36531</v>
      </c>
      <c r="B2" s="50" t="s">
        <v>9</v>
      </c>
      <c r="C2" s="51" t="s">
        <v>154</v>
      </c>
      <c r="D2" s="52">
        <v>12000</v>
      </c>
      <c r="F2" t="s">
        <v>181</v>
      </c>
    </row>
    <row r="3" ht="23.25">
      <c r="A3" s="49">
        <v>36542</v>
      </c>
      <c r="B3" s="50" t="s">
        <v>9</v>
      </c>
      <c r="C3" s="51" t="s">
        <v>157</v>
      </c>
      <c r="D3" s="52">
        <v>35700</v>
      </c>
      <c r="F3" t="s">
        <v>182</v>
      </c>
    </row>
    <row r="4" ht="23.25">
      <c r="A4" s="49">
        <v>36535</v>
      </c>
      <c r="B4" s="50" t="s">
        <v>9</v>
      </c>
      <c r="C4" s="51" t="s">
        <v>157</v>
      </c>
      <c r="D4" s="52">
        <v>42840</v>
      </c>
    </row>
    <row r="5" ht="23.25">
      <c r="A5" s="49">
        <v>36530</v>
      </c>
      <c r="B5" s="50" t="s">
        <v>9</v>
      </c>
      <c r="C5" s="51" t="s">
        <v>158</v>
      </c>
      <c r="D5" s="52">
        <v>10000</v>
      </c>
    </row>
    <row r="6" ht="23.25">
      <c r="A6" s="49">
        <v>36533</v>
      </c>
      <c r="B6" s="50" t="s">
        <v>21</v>
      </c>
      <c r="C6" s="51" t="s">
        <v>45</v>
      </c>
      <c r="D6" s="52">
        <v>32640</v>
      </c>
    </row>
    <row r="7" ht="23.25">
      <c r="A7" s="49">
        <v>36526</v>
      </c>
      <c r="B7" s="50" t="s">
        <v>21</v>
      </c>
      <c r="C7" s="51" t="s">
        <v>160</v>
      </c>
      <c r="D7" s="52">
        <v>4000</v>
      </c>
    </row>
    <row r="8" ht="23.25">
      <c r="A8" s="49">
        <v>36528</v>
      </c>
      <c r="B8" s="50" t="s">
        <v>21</v>
      </c>
      <c r="C8" s="51" t="s">
        <v>161</v>
      </c>
      <c r="D8" s="52">
        <v>8000</v>
      </c>
    </row>
    <row r="9" ht="23.25">
      <c r="A9" s="49">
        <v>36544</v>
      </c>
      <c r="B9" s="51" t="s">
        <v>21</v>
      </c>
      <c r="C9" s="51" t="s">
        <v>161</v>
      </c>
      <c r="D9" s="52">
        <v>8000</v>
      </c>
    </row>
    <row r="10" ht="23.25">
      <c r="A10" s="49">
        <v>36541</v>
      </c>
      <c r="B10" s="50" t="s">
        <v>21</v>
      </c>
      <c r="C10" s="51" t="s">
        <v>157</v>
      </c>
      <c r="D10" s="52">
        <v>42840</v>
      </c>
    </row>
    <row r="11" ht="22.8">
      <c r="A11" s="49">
        <v>36545</v>
      </c>
      <c r="B11" s="51" t="s">
        <v>21</v>
      </c>
      <c r="C11" s="51" t="s">
        <v>162</v>
      </c>
      <c r="D11" s="52">
        <v>8000</v>
      </c>
    </row>
    <row r="12" ht="22.8">
      <c r="A12" s="49">
        <v>36534</v>
      </c>
      <c r="B12" s="50" t="s">
        <v>21</v>
      </c>
      <c r="C12" s="51" t="s">
        <v>163</v>
      </c>
      <c r="D12" s="52">
        <v>48960</v>
      </c>
    </row>
    <row r="13" ht="22.8">
      <c r="A13" s="49">
        <v>36539</v>
      </c>
      <c r="B13" s="50" t="s">
        <v>6</v>
      </c>
      <c r="C13" s="51" t="s">
        <v>45</v>
      </c>
      <c r="D13" s="52">
        <v>32640</v>
      </c>
    </row>
    <row r="14" ht="22.8">
      <c r="A14" s="49">
        <v>36538</v>
      </c>
      <c r="B14" s="50" t="s">
        <v>6</v>
      </c>
      <c r="C14" s="51" t="s">
        <v>164</v>
      </c>
      <c r="D14" s="52">
        <v>35700</v>
      </c>
    </row>
    <row r="15" ht="22.8">
      <c r="A15" s="49">
        <v>36537</v>
      </c>
      <c r="B15" s="50" t="s">
        <v>6</v>
      </c>
      <c r="C15" s="51" t="s">
        <v>165</v>
      </c>
      <c r="D15" s="52">
        <v>6000</v>
      </c>
    </row>
    <row r="16" ht="22.8">
      <c r="A16" s="49">
        <v>36546</v>
      </c>
      <c r="B16" s="51" t="s">
        <v>6</v>
      </c>
      <c r="C16" s="51" t="s">
        <v>158</v>
      </c>
      <c r="D16" s="52">
        <v>10000</v>
      </c>
    </row>
    <row r="17" ht="22.8">
      <c r="A17" s="49">
        <v>36540</v>
      </c>
      <c r="B17" s="50" t="s">
        <v>6</v>
      </c>
      <c r="C17" s="51" t="s">
        <v>163</v>
      </c>
      <c r="D17" s="52">
        <v>48960</v>
      </c>
    </row>
    <row r="18" ht="22.8">
      <c r="A18" s="49">
        <v>36536</v>
      </c>
      <c r="B18" s="50" t="s">
        <v>15</v>
      </c>
      <c r="C18" s="51" t="s">
        <v>160</v>
      </c>
      <c r="D18" s="52">
        <v>4000</v>
      </c>
    </row>
    <row r="19" ht="22.8">
      <c r="A19" s="49">
        <v>36532</v>
      </c>
      <c r="B19" s="50" t="s">
        <v>15</v>
      </c>
      <c r="C19" s="51" t="s">
        <v>164</v>
      </c>
      <c r="D19" s="52">
        <v>3000</v>
      </c>
    </row>
    <row r="20" ht="22.8">
      <c r="A20" s="49">
        <v>36527</v>
      </c>
      <c r="B20" s="50" t="s">
        <v>15</v>
      </c>
      <c r="C20" s="51" t="s">
        <v>166</v>
      </c>
      <c r="D20" s="52">
        <v>9000</v>
      </c>
    </row>
    <row r="21" ht="22.8">
      <c r="A21" s="49">
        <v>36543</v>
      </c>
      <c r="B21" s="50" t="s">
        <v>15</v>
      </c>
      <c r="C21" s="51" t="s">
        <v>166</v>
      </c>
      <c r="D21" s="52">
        <v>9000</v>
      </c>
    </row>
    <row r="22" ht="22.8">
      <c r="A22" s="49">
        <v>36547</v>
      </c>
      <c r="B22" s="51" t="s">
        <v>15</v>
      </c>
      <c r="C22" s="51" t="s">
        <v>157</v>
      </c>
      <c r="D22" s="52">
        <v>35700</v>
      </c>
    </row>
    <row r="23" ht="22.8">
      <c r="A23" s="55">
        <v>36529</v>
      </c>
      <c r="B23" s="56" t="s">
        <v>15</v>
      </c>
      <c r="C23" s="57" t="s">
        <v>162</v>
      </c>
      <c r="D23" s="58">
        <v>8000</v>
      </c>
    </row>
  </sheetData>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r="http://schemas.openxmlformats.org/officeDocument/2006/relationships" xmlns="http://schemas.openxmlformats.org/spreadsheetml/2006/main">
  <sheetPr>
    <tabColor rgb="FFFFC000"/>
  </sheetPr>
  <sheetViews>
    <sheetView zoomScale="115" zoomScaleNormal="115" workbookViewId="0">
      <selection activeCell="A27" sqref="A27"/>
    </sheetView>
  </sheetViews>
  <sheetFormatPr defaultColWidth="8.597656" defaultRowHeight="15"/>
  <cols>
    <col min="1" max="1" width="22.19922" style="75" bestFit="1" customWidth="1"/>
    <col min="2" max="2" width="15.39844" style="75" bestFit="1" customWidth="1"/>
    <col min="3" max="3" width="16.89844" style="75" bestFit="1" customWidth="1"/>
    <col min="4" max="4" width="16.09766" style="75" bestFit="1" customWidth="1"/>
    <col min="5" max="5" width="10" style="75" bestFit="1" customWidth="1"/>
    <col min="6" max="6" width="9" style="75" bestFit="1" customWidth="1"/>
    <col min="7" max="7" width="17.5" style="75" bestFit="1" customWidth="1"/>
    <col min="8" max="8" width="12" style="75" bestFit="1" customWidth="1"/>
    <col min="9" max="9" width="9.699219" style="75" bestFit="1" customWidth="1"/>
    <col min="10" max="10" width="13.09766" style="75" bestFit="1" customWidth="1"/>
    <col min="11" max="11" width="18.19922" style="75" bestFit="1" customWidth="1"/>
    <col min="12" max="12" width="9.5" style="75" bestFit="1" customWidth="1"/>
    <col min="13" max="13" width="13.19922" style="75" bestFit="1" customWidth="1"/>
    <col min="14" max="14" width="11.89844" style="75" bestFit="1" customWidth="1"/>
    <col min="15" max="15" width="12.59766" style="75" bestFit="1" customWidth="1"/>
    <col min="16" max="16" width="12.19922" style="75" bestFit="1" customWidth="1"/>
    <col min="17" max="17" width="11.89844" style="75" bestFit="1" customWidth="1"/>
    <col min="18" max="16384" width="8.597656" style="75"/>
  </cols>
  <sheetData>
    <row r="3" ht="15.75">
      <c r="A3" s="76" t="s">
        <v>1</v>
      </c>
      <c r="B3" s="77" t="s">
        <v>183</v>
      </c>
      <c r="C3"/>
      <c r="D3"/>
      <c r="E3"/>
      <c r="F3"/>
      <c r="G3"/>
      <c r="H3"/>
      <c r="I3"/>
      <c r="J3"/>
      <c r="K3"/>
      <c r="L3"/>
      <c r="M3"/>
      <c r="N3"/>
      <c r="O3"/>
      <c r="P3"/>
      <c r="Q3"/>
    </row>
    <row r="4" ht="15.6">
      <c r="A4" s="78" t="s">
        <v>9</v>
      </c>
      <c r="B4" s="79"/>
      <c r="C4"/>
      <c r="D4"/>
      <c r="E4"/>
      <c r="F4"/>
      <c r="G4"/>
      <c r="H4"/>
      <c r="I4"/>
      <c r="J4"/>
      <c r="K4"/>
      <c r="L4"/>
      <c r="M4"/>
      <c r="N4"/>
      <c r="O4"/>
      <c r="P4"/>
      <c r="Q4"/>
    </row>
    <row r="5" ht="15.6">
      <c r="A5" s="80" t="s">
        <v>7</v>
      </c>
      <c r="B5" s="79">
        <v>45000</v>
      </c>
      <c r="C5"/>
      <c r="D5"/>
      <c r="E5"/>
      <c r="F5"/>
      <c r="G5"/>
      <c r="H5"/>
      <c r="I5"/>
      <c r="J5"/>
      <c r="K5"/>
      <c r="L5"/>
      <c r="M5"/>
      <c r="N5"/>
      <c r="O5"/>
      <c r="P5"/>
      <c r="Q5"/>
    </row>
    <row r="6" ht="15.6">
      <c r="A6" s="80" t="s">
        <v>12</v>
      </c>
      <c r="B6" s="79">
        <v>7000</v>
      </c>
      <c r="C6"/>
      <c r="D6"/>
      <c r="E6"/>
      <c r="F6"/>
      <c r="G6"/>
      <c r="H6"/>
      <c r="I6"/>
      <c r="J6"/>
      <c r="K6"/>
      <c r="L6"/>
      <c r="M6"/>
      <c r="N6"/>
      <c r="O6"/>
      <c r="P6"/>
      <c r="Q6"/>
    </row>
    <row r="7" ht="15.6">
      <c r="A7" s="80" t="s">
        <v>14</v>
      </c>
      <c r="B7" s="79">
        <v>8000</v>
      </c>
      <c r="C7"/>
      <c r="D7"/>
      <c r="E7"/>
      <c r="F7"/>
      <c r="G7"/>
      <c r="H7"/>
      <c r="I7"/>
      <c r="J7"/>
      <c r="K7"/>
      <c r="L7"/>
      <c r="M7"/>
      <c r="N7"/>
      <c r="O7"/>
      <c r="P7"/>
      <c r="Q7"/>
    </row>
    <row r="8" ht="15.6">
      <c r="A8" s="80" t="s">
        <v>10</v>
      </c>
      <c r="B8" s="79">
        <v>6000</v>
      </c>
      <c r="C8"/>
      <c r="D8"/>
      <c r="E8"/>
      <c r="F8"/>
      <c r="G8"/>
      <c r="H8"/>
      <c r="I8"/>
      <c r="J8"/>
      <c r="K8"/>
      <c r="L8"/>
      <c r="M8"/>
      <c r="N8"/>
      <c r="O8"/>
      <c r="P8"/>
      <c r="Q8"/>
    </row>
    <row r="9" ht="15.6">
      <c r="A9" s="78" t="s">
        <v>184</v>
      </c>
      <c r="B9" s="79">
        <v>66000</v>
      </c>
      <c r="C9"/>
      <c r="D9"/>
      <c r="E9"/>
      <c r="F9"/>
      <c r="G9"/>
      <c r="H9"/>
      <c r="I9"/>
      <c r="J9"/>
      <c r="K9"/>
      <c r="L9"/>
      <c r="M9"/>
      <c r="N9"/>
      <c r="O9"/>
      <c r="P9"/>
      <c r="Q9"/>
    </row>
    <row r="10" ht="13.8">
      <c r="A10" s="78"/>
      <c r="B10" s="79"/>
    </row>
    <row r="11" ht="13.8">
      <c r="A11" s="78" t="s">
        <v>21</v>
      </c>
      <c r="B11" s="79"/>
    </row>
    <row r="12" ht="13.8">
      <c r="A12" s="80" t="s">
        <v>22</v>
      </c>
      <c r="B12" s="79">
        <v>10000</v>
      </c>
    </row>
    <row r="13" ht="13.8">
      <c r="A13" s="80" t="s">
        <v>29</v>
      </c>
      <c r="B13" s="79">
        <v>15000</v>
      </c>
    </row>
    <row r="14" ht="13.8">
      <c r="A14" s="80" t="s">
        <v>33</v>
      </c>
      <c r="B14" s="79">
        <v>18000</v>
      </c>
    </row>
    <row r="15" ht="13.8">
      <c r="A15" s="80" t="s">
        <v>16</v>
      </c>
      <c r="B15" s="79">
        <v>50000</v>
      </c>
    </row>
    <row r="16" ht="13.8">
      <c r="A16" s="80" t="s">
        <v>41</v>
      </c>
      <c r="B16" s="79">
        <v>25000</v>
      </c>
    </row>
    <row r="17" ht="13.8">
      <c r="A17" s="78" t="s">
        <v>185</v>
      </c>
      <c r="B17" s="79">
        <v>118000</v>
      </c>
    </row>
    <row r="18" ht="13.8">
      <c r="A18" s="78"/>
      <c r="B18" s="79"/>
    </row>
    <row r="19" ht="13.8">
      <c r="A19" s="78" t="s">
        <v>6</v>
      </c>
      <c r="B19" s="79"/>
    </row>
    <row r="20" ht="13.8">
      <c r="A20" s="80" t="s">
        <v>45</v>
      </c>
      <c r="B20" s="79">
        <v>30000</v>
      </c>
    </row>
    <row r="21" ht="13.8">
      <c r="A21" s="80" t="s">
        <v>7</v>
      </c>
      <c r="B21" s="79">
        <v>5000</v>
      </c>
    </row>
    <row r="22" ht="13.8">
      <c r="A22" s="80" t="s">
        <v>53</v>
      </c>
      <c r="B22" s="79">
        <v>35000</v>
      </c>
    </row>
    <row r="23" ht="13.8">
      <c r="A23" s="80" t="s">
        <v>12</v>
      </c>
      <c r="B23" s="79">
        <v>10000</v>
      </c>
    </row>
    <row r="24">
      <c r="A24" s="80" t="s">
        <v>49</v>
      </c>
      <c r="B24" s="79">
        <v>30000</v>
      </c>
    </row>
    <row r="25" ht="13.8">
      <c r="A25" s="78" t="s">
        <v>186</v>
      </c>
      <c r="B25" s="79">
        <v>110000</v>
      </c>
    </row>
    <row r="26" ht="13.8">
      <c r="A26" s="78"/>
      <c r="B26" s="79"/>
    </row>
    <row r="27" ht="13.8">
      <c r="A27" s="78" t="s">
        <v>15</v>
      </c>
      <c r="B27" s="79"/>
    </row>
    <row r="28" ht="13.8">
      <c r="A28" s="80" t="s">
        <v>57</v>
      </c>
      <c r="B28" s="79">
        <v>36000</v>
      </c>
    </row>
    <row r="29" ht="13.8">
      <c r="A29" s="80" t="s">
        <v>58</v>
      </c>
      <c r="B29" s="79">
        <v>40000</v>
      </c>
    </row>
    <row r="30" ht="13.8">
      <c r="A30" s="80" t="s">
        <v>33</v>
      </c>
      <c r="B30" s="79">
        <v>70000</v>
      </c>
    </row>
    <row r="31" ht="13.8">
      <c r="A31" s="80" t="s">
        <v>37</v>
      </c>
      <c r="B31" s="79">
        <v>25000</v>
      </c>
    </row>
    <row r="32" ht="13.8">
      <c r="A32" s="80" t="s">
        <v>16</v>
      </c>
      <c r="B32" s="79">
        <v>9000</v>
      </c>
    </row>
    <row r="33" ht="13.8">
      <c r="A33" s="80" t="s">
        <v>41</v>
      </c>
      <c r="B33" s="79">
        <v>80000</v>
      </c>
    </row>
    <row r="34" ht="13.8">
      <c r="A34" s="78" t="s">
        <v>187</v>
      </c>
      <c r="B34" s="79">
        <v>260000</v>
      </c>
    </row>
    <row r="35" ht="13.8">
      <c r="A35" s="78"/>
      <c r="B35" s="79"/>
    </row>
    <row r="36" ht="13.8">
      <c r="A36" s="78" t="s">
        <v>159</v>
      </c>
      <c r="B36" s="79">
        <v>554000</v>
      </c>
    </row>
  </sheetData>
  <pageSetup r:id="rId2" orientation="portrait"/>
  <drawing r:id="rId3"/>
</worksheet>
</file>

<file path=xl/worksheets/sheet12.xml><?xml version="1.0" encoding="utf-8"?>
<worksheet xmlns:r="http://schemas.openxmlformats.org/officeDocument/2006/relationships" xmlns="http://schemas.openxmlformats.org/spreadsheetml/2006/main">
  <sheetPr>
    <tabColor rgb="FFFF99FF"/>
  </sheetPr>
  <sheetViews>
    <sheetView workbookViewId="0" topLeftCell="D1">
      <selection activeCell="N5" sqref="N5"/>
    </sheetView>
  </sheetViews>
  <sheetFormatPr defaultColWidth="13.89844" defaultRowHeight="15.75"/>
  <cols>
    <col min="1" max="7" width="13.89844" style="81"/>
    <col min="8" max="8" width="9.597656" style="81" customWidth="1"/>
    <col min="9" max="9" width="16.69922" style="81" customWidth="1"/>
    <col min="10" max="10" width="19.69922" style="81" customWidth="1"/>
    <col min="11" max="11" width="20.39844" style="81" customWidth="1"/>
    <col min="12" max="16384" width="13.89844" style="81"/>
  </cols>
  <sheetData>
    <row r="2" ht="15.6" customHeight="1">
      <c r="B2" s="82" t="s">
        <v>138</v>
      </c>
      <c r="C2" s="82" t="s">
        <v>188</v>
      </c>
      <c r="D2" s="82" t="s">
        <v>189</v>
      </c>
      <c r="E2" s="82" t="s">
        <v>190</v>
      </c>
      <c r="F2" s="82" t="s">
        <v>191</v>
      </c>
      <c r="H2" s="1" t="s">
        <v>192</v>
      </c>
    </row>
    <row r="3" ht="15.6">
      <c r="B3" s="83">
        <v>11</v>
      </c>
      <c r="C3" s="83" t="s">
        <v>193</v>
      </c>
      <c r="D3" s="84">
        <v>67</v>
      </c>
      <c r="E3" s="84">
        <v>30</v>
      </c>
      <c r="F3" s="84">
        <v>25</v>
      </c>
      <c r="H3" t="s">
        <v>194</v>
      </c>
    </row>
    <row r="4" ht="15.6">
      <c r="B4" s="83">
        <v>4</v>
      </c>
      <c r="C4" s="83" t="s">
        <v>146</v>
      </c>
      <c r="D4" s="84">
        <v>40</v>
      </c>
      <c r="E4" s="84">
        <v>70</v>
      </c>
      <c r="F4" s="84">
        <v>20</v>
      </c>
    </row>
    <row r="5" ht="18">
      <c r="B5" s="83">
        <v>5</v>
      </c>
      <c r="C5" s="83" t="s">
        <v>147</v>
      </c>
      <c r="D5" s="84">
        <v>50</v>
      </c>
      <c r="E5" s="84">
        <v>60</v>
      </c>
      <c r="F5" s="84">
        <v>40</v>
      </c>
      <c r="H5" s="85"/>
      <c r="I5" s="85"/>
      <c r="J5" s="86" t="s">
        <v>195</v>
      </c>
      <c r="K5" s="86" t="s">
        <v>196</v>
      </c>
      <c r="L5" s="86" t="s">
        <v>141</v>
      </c>
    </row>
    <row r="6" ht="18.6" customHeight="1">
      <c r="B6" s="83">
        <v>3</v>
      </c>
      <c r="C6" s="83" t="s">
        <v>145</v>
      </c>
      <c r="D6" s="84">
        <v>30</v>
      </c>
      <c r="E6" s="84">
        <v>80</v>
      </c>
      <c r="F6" s="84">
        <v>50</v>
      </c>
      <c r="H6" s="87" t="s">
        <v>197</v>
      </c>
      <c r="I6" s="87"/>
      <c r="J6" s="88" t="b">
        <v>1</v>
      </c>
      <c r="K6" s="88" t="b">
        <v>1</v>
      </c>
      <c r="L6" s="88" t="b">
        <v>1</v>
      </c>
    </row>
    <row r="7" ht="15.6">
      <c r="B7" s="83">
        <v>14</v>
      </c>
      <c r="C7" s="83" t="s">
        <v>198</v>
      </c>
      <c r="D7" s="84">
        <v>40</v>
      </c>
      <c r="E7" s="84">
        <v>70</v>
      </c>
      <c r="F7" s="84">
        <v>60</v>
      </c>
      <c r="H7" s="87"/>
      <c r="I7" s="87"/>
      <c r="J7" s="88" t="b">
        <v>0</v>
      </c>
      <c r="K7" s="88" t="b">
        <v>1</v>
      </c>
      <c r="L7" s="88" t="b">
        <v>1</v>
      </c>
    </row>
    <row r="8" ht="15.6">
      <c r="B8" s="83">
        <v>2</v>
      </c>
      <c r="C8" s="83" t="s">
        <v>143</v>
      </c>
      <c r="D8" s="84">
        <v>20</v>
      </c>
      <c r="E8" s="84">
        <v>90</v>
      </c>
      <c r="F8" s="84">
        <v>70</v>
      </c>
      <c r="H8" s="87"/>
      <c r="I8" s="87"/>
      <c r="J8" s="88" t="b">
        <v>1</v>
      </c>
      <c r="K8" s="88" t="b">
        <v>0</v>
      </c>
      <c r="L8" s="88" t="b">
        <v>1</v>
      </c>
    </row>
    <row r="9" ht="15.6">
      <c r="B9" s="83">
        <v>6</v>
      </c>
      <c r="C9" s="83" t="s">
        <v>148</v>
      </c>
      <c r="D9" s="84">
        <v>60</v>
      </c>
      <c r="E9" s="84">
        <v>50</v>
      </c>
      <c r="F9" s="84">
        <v>80</v>
      </c>
      <c r="H9" s="87"/>
      <c r="I9" s="87"/>
      <c r="J9" s="88" t="b">
        <v>0</v>
      </c>
      <c r="K9" s="88" t="b">
        <v>0</v>
      </c>
      <c r="L9" s="88" t="b">
        <v>0</v>
      </c>
    </row>
    <row r="10" ht="15.6">
      <c r="B10" s="83">
        <v>1</v>
      </c>
      <c r="C10" s="83" t="s">
        <v>142</v>
      </c>
      <c r="D10" s="84">
        <v>10</v>
      </c>
      <c r="E10" s="84">
        <v>100</v>
      </c>
      <c r="F10" s="84">
        <v>90</v>
      </c>
      <c r="H10" s="85"/>
      <c r="I10" s="85"/>
      <c r="J10" s="85"/>
      <c r="K10" s="85"/>
      <c r="L10" s="85"/>
    </row>
    <row r="11" ht="15.6">
      <c r="B11" s="83">
        <v>7</v>
      </c>
      <c r="C11" s="83" t="s">
        <v>149</v>
      </c>
      <c r="D11" s="84">
        <v>70</v>
      </c>
      <c r="E11" s="84">
        <v>40</v>
      </c>
      <c r="F11" s="84">
        <v>100</v>
      </c>
      <c r="H11" s="87" t="s">
        <v>199</v>
      </c>
      <c r="I11" s="87"/>
      <c r="J11" s="88" t="b">
        <v>1</v>
      </c>
      <c r="K11" s="88" t="b">
        <v>1</v>
      </c>
      <c r="L11" s="88" t="b">
        <v>1</v>
      </c>
    </row>
    <row r="12" ht="15.6">
      <c r="B12" s="83">
        <v>10</v>
      </c>
      <c r="C12" s="83" t="s">
        <v>200</v>
      </c>
      <c r="D12" s="84">
        <v>100</v>
      </c>
      <c r="E12" s="84">
        <v>20</v>
      </c>
      <c r="F12" s="84">
        <v>90</v>
      </c>
      <c r="H12" s="87"/>
      <c r="I12" s="87"/>
      <c r="J12" s="88" t="b">
        <v>0</v>
      </c>
      <c r="K12" s="88" t="b">
        <v>1</v>
      </c>
      <c r="L12" s="88" t="b">
        <v>0</v>
      </c>
    </row>
    <row r="13" ht="15.6">
      <c r="B13" s="83">
        <v>9</v>
      </c>
      <c r="C13" s="83" t="s">
        <v>201</v>
      </c>
      <c r="D13" s="84">
        <v>90</v>
      </c>
      <c r="E13" s="84">
        <v>90</v>
      </c>
      <c r="F13" s="84">
        <v>35</v>
      </c>
      <c r="H13" s="87"/>
      <c r="I13" s="87"/>
      <c r="J13" s="88" t="b">
        <v>1</v>
      </c>
      <c r="K13" s="88" t="b">
        <v>0</v>
      </c>
      <c r="L13" s="88" t="b">
        <v>0</v>
      </c>
    </row>
    <row r="14" ht="15.6">
      <c r="B14" s="83">
        <v>12</v>
      </c>
      <c r="C14" s="83" t="s">
        <v>202</v>
      </c>
      <c r="D14" s="84">
        <v>80</v>
      </c>
      <c r="E14" s="84">
        <v>50</v>
      </c>
      <c r="F14" s="84">
        <v>85</v>
      </c>
      <c r="H14" s="87"/>
      <c r="I14" s="87"/>
      <c r="J14" s="88" t="b">
        <v>0</v>
      </c>
      <c r="K14" s="88" t="b">
        <v>0</v>
      </c>
      <c r="L14" s="88" t="b">
        <v>0</v>
      </c>
    </row>
    <row r="15" ht="15.6">
      <c r="B15" s="83">
        <v>8</v>
      </c>
      <c r="C15" s="83" t="s">
        <v>150</v>
      </c>
      <c r="D15" s="84">
        <v>80</v>
      </c>
      <c r="E15" s="84">
        <v>80</v>
      </c>
      <c r="F15" s="84">
        <v>75</v>
      </c>
    </row>
    <row r="16" ht="15.6">
      <c r="B16" s="83">
        <v>13</v>
      </c>
      <c r="C16" s="83" t="s">
        <v>203</v>
      </c>
      <c r="D16" s="84">
        <v>90</v>
      </c>
      <c r="E16" s="84">
        <v>100</v>
      </c>
      <c r="F16" s="84">
        <v>50</v>
      </c>
      <c r="H16" s="87" t="s">
        <v>204</v>
      </c>
      <c r="I16" s="87"/>
      <c r="J16" s="88" t="b">
        <v>1</v>
      </c>
      <c r="K16" s="88" t="b">
        <v>0</v>
      </c>
      <c r="L16" s="88" t="b">
        <v>1</v>
      </c>
    </row>
    <row r="17" ht="15.6">
      <c r="H17" s="87"/>
      <c r="I17" s="87"/>
      <c r="J17" s="88" t="b">
        <v>0</v>
      </c>
      <c r="K17" s="89" t="b">
        <v>1</v>
      </c>
      <c r="L17" s="88" t="b">
        <v>1</v>
      </c>
    </row>
    <row r="18" ht="15.6">
      <c r="H18" s="87"/>
      <c r="I18" s="87"/>
      <c r="J18" s="88" t="b">
        <v>1</v>
      </c>
      <c r="K18" s="88" t="b">
        <v>1</v>
      </c>
      <c r="L18" s="88" t="b">
        <v>0</v>
      </c>
    </row>
    <row r="19" ht="90">
      <c r="H19" s="87"/>
      <c r="I19" s="87"/>
      <c r="J19" s="90" t="s">
        <v>205</v>
      </c>
      <c r="K19" s="90" t="s">
        <v>206</v>
      </c>
      <c r="L19" s="88"/>
    </row>
    <row r="22" ht="31.8">
      <c r="H22" s="91" t="s">
        <v>207</v>
      </c>
      <c r="I22" s="92" t="s">
        <v>208</v>
      </c>
    </row>
    <row r="29" ht="15.6">
      <c r="F29" s="93" t="s">
        <v>209</v>
      </c>
      <c r="G29" s="93" t="s">
        <v>66</v>
      </c>
      <c r="H29" s="93" t="s">
        <v>20</v>
      </c>
      <c r="I29" s="93" t="s">
        <v>67</v>
      </c>
    </row>
    <row r="30" ht="31.2">
      <c r="F30" s="94" t="s">
        <v>210</v>
      </c>
      <c r="G30" s="68" t="s">
        <v>211</v>
      </c>
      <c r="H30" s="94" t="b">
        <f>A1=B1</f>
        <v>1</v>
      </c>
      <c r="I30" s="68" t="s">
        <v>212</v>
      </c>
    </row>
    <row r="31" ht="31.2">
      <c r="F31" s="94" t="s">
        <v>213</v>
      </c>
      <c r="G31" s="68" t="s">
        <v>214</v>
      </c>
      <c r="H31" s="94" t="b">
        <f>A1&lt;&gt;B1</f>
        <v>0</v>
      </c>
      <c r="I31" s="68" t="s">
        <v>215</v>
      </c>
    </row>
    <row r="32" ht="31.2">
      <c r="F32" s="94" t="s">
        <v>216</v>
      </c>
      <c r="G32" s="68" t="s">
        <v>217</v>
      </c>
      <c r="H32" s="94" t="b">
        <f>A1&gt;B1</f>
        <v>0</v>
      </c>
      <c r="I32" s="68" t="s">
        <v>218</v>
      </c>
    </row>
    <row r="33" ht="31.2">
      <c r="F33" s="94" t="s">
        <v>219</v>
      </c>
      <c r="G33" s="68" t="s">
        <v>220</v>
      </c>
      <c r="H33" s="94" t="b">
        <f>A1&lt;B1</f>
        <v>0</v>
      </c>
      <c r="I33" s="68" t="s">
        <v>221</v>
      </c>
    </row>
    <row r="34" ht="31.2">
      <c r="F34" s="94" t="s">
        <v>222</v>
      </c>
      <c r="G34" s="68" t="s">
        <v>223</v>
      </c>
      <c r="H34" s="94" t="b">
        <f>A1&gt;=B1</f>
        <v>1</v>
      </c>
      <c r="I34" s="68" t="s">
        <v>224</v>
      </c>
    </row>
    <row r="35" ht="31.2">
      <c r="F35" s="94" t="s">
        <v>225</v>
      </c>
      <c r="G35" s="68" t="s">
        <v>226</v>
      </c>
      <c r="H35" s="94" t="b">
        <f>A1&lt;=B1</f>
        <v>1</v>
      </c>
      <c r="I35" s="68" t="s">
        <v>227</v>
      </c>
    </row>
  </sheetData>
  <mergeCells count="3">
    <mergeCell ref="H6:I9"/>
    <mergeCell ref="H11:I14"/>
    <mergeCell ref="H16:I19"/>
  </mergeCells>
  <pageSetup r:id="rId1" orientation="portrait"/>
</worksheet>
</file>

<file path=xl/worksheets/sheet13.xml><?xml version="1.0" encoding="utf-8"?>
<worksheet xmlns:r="http://schemas.openxmlformats.org/officeDocument/2006/relationships" xmlns="http://schemas.openxmlformats.org/spreadsheetml/2006/main">
  <sheetPr>
    <tabColor rgb="FFFFC000"/>
  </sheetPr>
  <sheetViews>
    <sheetView workbookViewId="0">
      <selection activeCell="J12" sqref="J12"/>
    </sheetView>
  </sheetViews>
  <sheetFormatPr defaultColWidth="13.09766" defaultRowHeight="15.75"/>
  <cols>
    <col min="1" max="6" width="13.09766" style="95"/>
    <col min="7" max="7" width="35.89844" style="95" customWidth="1"/>
    <col min="8" max="8" width="10.69922" style="95" customWidth="1"/>
    <col min="9" max="16384" width="13.09766" style="95"/>
  </cols>
  <sheetData>
    <row r="2" ht="31.2">
      <c r="A2" s="82" t="s">
        <v>138</v>
      </c>
      <c r="B2" s="82" t="s">
        <v>188</v>
      </c>
      <c r="C2" s="82" t="s">
        <v>189</v>
      </c>
      <c r="D2" s="82" t="s">
        <v>190</v>
      </c>
      <c r="E2" s="82" t="s">
        <v>191</v>
      </c>
    </row>
    <row r="3" ht="15.6">
      <c r="A3" s="96">
        <v>11</v>
      </c>
      <c r="B3" s="96" t="s">
        <v>193</v>
      </c>
      <c r="C3" s="97">
        <v>45</v>
      </c>
      <c r="D3" s="97">
        <v>50</v>
      </c>
      <c r="E3" s="97">
        <v>25</v>
      </c>
    </row>
    <row r="4" ht="15.6">
      <c r="A4" s="96">
        <v>4</v>
      </c>
      <c r="B4" s="96" t="s">
        <v>146</v>
      </c>
      <c r="C4" s="97">
        <v>60</v>
      </c>
      <c r="D4" s="97">
        <v>70</v>
      </c>
      <c r="E4" s="97">
        <v>35</v>
      </c>
    </row>
    <row r="5" ht="37.5" customHeight="1">
      <c r="A5" s="96">
        <v>5</v>
      </c>
      <c r="B5" s="96" t="s">
        <v>147</v>
      </c>
      <c r="C5" s="97">
        <v>30</v>
      </c>
      <c r="D5" s="97">
        <v>25</v>
      </c>
      <c r="E5" s="97">
        <v>40</v>
      </c>
      <c r="F5" s="98"/>
      <c r="G5" s="99" t="s">
        <v>228</v>
      </c>
      <c r="H5" s="100" t="s">
        <v>229</v>
      </c>
    </row>
    <row r="6" ht="19.8">
      <c r="A6" s="83">
        <v>3</v>
      </c>
      <c r="B6" s="83" t="s">
        <v>145</v>
      </c>
      <c r="C6" s="84">
        <v>30</v>
      </c>
      <c r="D6" s="84">
        <v>80</v>
      </c>
      <c r="E6" s="84">
        <v>50</v>
      </c>
      <c r="F6" s="101" t="s">
        <v>230</v>
      </c>
      <c r="G6" s="102" t="b">
        <f>J5=IF(OR(D3&gt;40, E3&gt;40), "PASSED", "FAILED")</f>
        <v>0</v>
      </c>
      <c r="H6" s="102" t="s">
        <v>193</v>
      </c>
    </row>
    <row r="7" ht="19.8">
      <c r="A7" s="83">
        <v>14</v>
      </c>
      <c r="B7" s="83" t="s">
        <v>198</v>
      </c>
      <c r="C7" s="84">
        <v>40</v>
      </c>
      <c r="D7" s="84">
        <v>70</v>
      </c>
      <c r="E7" s="84">
        <v>60</v>
      </c>
      <c r="F7" s="101"/>
      <c r="G7" s="102" t="str">
        <f>IF(OR(D4&gt;40, E4&gt;40), "PASSED", "FAILED")</f>
        <v>PASSED</v>
      </c>
      <c r="H7" s="102" t="s">
        <v>146</v>
      </c>
    </row>
    <row r="8" ht="19.8">
      <c r="A8" s="83">
        <v>2</v>
      </c>
      <c r="B8" s="83" t="s">
        <v>143</v>
      </c>
      <c r="C8" s="84">
        <v>20</v>
      </c>
      <c r="D8" s="84">
        <v>90</v>
      </c>
      <c r="E8" s="84">
        <v>70</v>
      </c>
      <c r="F8" s="101"/>
      <c r="G8" s="102" t="str">
        <f>IF(OR(C5&gt;40,D5&gt;40,E5&gt;40),"PASSED","FAILED")</f>
        <v>FAILED</v>
      </c>
      <c r="H8" s="102" t="s">
        <v>147</v>
      </c>
      <c r="J8" s="95" t="str">
        <f>IF(OR(D3&gt;40, E3&gt;40,E3&gt;40), "PASSED", "FAILED")</f>
        <v>PASSED</v>
      </c>
    </row>
    <row r="9" ht="18.6">
      <c r="A9" s="83">
        <v>6</v>
      </c>
      <c r="B9" s="83" t="s">
        <v>148</v>
      </c>
      <c r="C9" s="84">
        <v>60</v>
      </c>
      <c r="D9" s="84">
        <v>50</v>
      </c>
      <c r="E9" s="84">
        <v>80</v>
      </c>
      <c r="F9" s="103"/>
      <c r="G9" s="103"/>
      <c r="H9" s="103"/>
    </row>
    <row r="10" ht="19.8">
      <c r="A10" s="83">
        <v>1</v>
      </c>
      <c r="B10" s="83" t="s">
        <v>142</v>
      </c>
      <c r="C10" s="84">
        <v>10</v>
      </c>
      <c r="D10" s="84">
        <v>100</v>
      </c>
      <c r="E10" s="84">
        <v>90</v>
      </c>
      <c r="F10" s="104" t="s">
        <v>231</v>
      </c>
      <c r="G10" s="102" t="str">
        <f>IF(AND(C3&gt;40,D3&gt;40),"PASSED","FAILED")</f>
        <v>PASSED</v>
      </c>
      <c r="H10" s="102" t="s">
        <v>193</v>
      </c>
    </row>
    <row r="11" ht="19.8">
      <c r="A11" s="83">
        <v>7</v>
      </c>
      <c r="B11" s="83" t="s">
        <v>149</v>
      </c>
      <c r="C11" s="84">
        <v>70</v>
      </c>
      <c r="D11" s="84">
        <v>40</v>
      </c>
      <c r="E11" s="84">
        <v>100</v>
      </c>
      <c r="F11" s="105"/>
      <c r="G11" s="102" t="str">
        <f>IF(AND(C4&gt;40, D4&gt;40), "PASSED", "FAILED")</f>
        <v>PASSED</v>
      </c>
      <c r="H11" s="102" t="s">
        <v>146</v>
      </c>
    </row>
    <row r="12" ht="19.8">
      <c r="A12" s="83">
        <v>10</v>
      </c>
      <c r="B12" s="83" t="s">
        <v>200</v>
      </c>
      <c r="C12" s="84">
        <v>100</v>
      </c>
      <c r="D12" s="84">
        <v>20</v>
      </c>
      <c r="E12" s="84">
        <v>90</v>
      </c>
      <c r="F12" s="106"/>
      <c r="G12" s="102" t="str">
        <f>IF(AND(C5&gt;40, D5&gt;40, E5&gt;40), "PASSED", "FAILED")</f>
        <v>FAILED</v>
      </c>
      <c r="H12" s="102" t="s">
        <v>147</v>
      </c>
    </row>
    <row r="13" ht="18.6">
      <c r="A13" s="83">
        <v>9</v>
      </c>
      <c r="B13" s="83" t="s">
        <v>201</v>
      </c>
      <c r="C13" s="84">
        <v>90</v>
      </c>
      <c r="D13" s="84">
        <v>90</v>
      </c>
      <c r="E13" s="84">
        <v>35</v>
      </c>
      <c r="F13" s="103"/>
      <c r="G13" s="103"/>
      <c r="H13" s="103"/>
    </row>
    <row r="14" ht="19.8">
      <c r="A14" s="83">
        <v>12</v>
      </c>
      <c r="B14" s="83" t="s">
        <v>202</v>
      </c>
      <c r="C14" s="84">
        <v>80</v>
      </c>
      <c r="D14" s="84">
        <v>50</v>
      </c>
      <c r="E14" s="84">
        <v>85</v>
      </c>
      <c r="F14" s="104" t="s">
        <v>232</v>
      </c>
      <c r="G14" s="102" t="str">
        <f>IF(_xlfn.XOR(C3&gt;40, D3&gt;40, E3&gt;40), "PASSED", "FAILED")</f>
        <v>FAILED</v>
      </c>
      <c r="H14" s="102" t="s">
        <v>193</v>
      </c>
    </row>
    <row r="15" ht="19.8">
      <c r="A15" s="83">
        <v>8</v>
      </c>
      <c r="B15" s="83" t="s">
        <v>150</v>
      </c>
      <c r="C15" s="84">
        <v>80</v>
      </c>
      <c r="D15" s="84">
        <v>80</v>
      </c>
      <c r="E15" s="84">
        <v>75</v>
      </c>
      <c r="F15" s="105"/>
      <c r="G15" s="102" t="str">
        <f>IF(_xlfn.XOR(C4&gt;40, D4&gt;40, E4&gt;40), "PASSED", "FAILED")</f>
        <v>FAILED</v>
      </c>
      <c r="H15" s="102" t="s">
        <v>146</v>
      </c>
    </row>
    <row r="16" ht="19.8">
      <c r="A16" s="83">
        <v>13</v>
      </c>
      <c r="B16" s="83" t="s">
        <v>203</v>
      </c>
      <c r="C16" s="84">
        <v>90</v>
      </c>
      <c r="D16" s="84">
        <v>100</v>
      </c>
      <c r="E16" s="84">
        <v>50</v>
      </c>
      <c r="F16" s="106"/>
      <c r="G16" s="102" t="str">
        <f>IF(_xlfn.XOR(C5&gt;40, D5&gt;40, E5&gt;40), "PASSED", "FAILED")</f>
        <v>FAILED</v>
      </c>
      <c r="H16" s="102" t="s">
        <v>147</v>
      </c>
    </row>
    <row r="18" ht="18.6">
      <c r="F18" s="103" t="b">
        <f>NOT(TRUE)</f>
        <v>0</v>
      </c>
    </row>
  </sheetData>
  <mergeCells count="3">
    <mergeCell ref="F6:F8"/>
    <mergeCell ref="F10:F12"/>
    <mergeCell ref="F14:F16"/>
  </mergeCells>
  <pageSetup r:id="rId1" orientation="portrait"/>
</worksheet>
</file>

<file path=xl/worksheets/sheet14.xml><?xml version="1.0" encoding="utf-8"?>
<worksheet xmlns:r="http://schemas.openxmlformats.org/officeDocument/2006/relationships" xmlns="http://schemas.openxmlformats.org/spreadsheetml/2006/main">
  <sheetPr>
    <tabColor rgb="FFFF99FF"/>
  </sheetPr>
  <sheetViews>
    <sheetView zoomScale="145" zoomScaleNormal="145" workbookViewId="0">
      <selection activeCell="F19" sqref="F19"/>
    </sheetView>
  </sheetViews>
  <sheetFormatPr defaultColWidth="13.19922" defaultRowHeight="15" customHeight="1"/>
  <cols>
    <col min="1" max="1" width="6.597656" style="107" customWidth="1"/>
    <col min="2" max="2" width="17.09766" style="107" customWidth="1"/>
    <col min="3" max="3" width="17.89844" style="107" customWidth="1"/>
    <col min="4" max="4" width="11.89844" style="107" customWidth="1"/>
    <col min="5" max="6" width="12.59766" style="107" customWidth="1"/>
    <col min="7" max="7" width="12" style="107" customWidth="1"/>
    <col min="8" max="8" width="14.19922" style="107" customWidth="1"/>
    <col min="9" max="9" width="11.89844" style="107" customWidth="1"/>
    <col min="10" max="10" width="11.69922" style="107" customWidth="1"/>
    <col min="11" max="11" width="14.69922" style="107" customWidth="1"/>
    <col min="12" max="12" width="12.59766" style="107" customWidth="1"/>
    <col min="13" max="26" width="16.89844" style="107" customWidth="1"/>
    <col min="27" max="16384" width="13.19922" style="107"/>
  </cols>
  <sheetData>
    <row r="4" ht="18.75" customHeight="1">
      <c r="B4" s="108" t="s">
        <v>151</v>
      </c>
      <c r="C4" s="109" t="s">
        <v>9</v>
      </c>
      <c r="D4" s="110" t="s">
        <v>9</v>
      </c>
      <c r="E4" s="109" t="s">
        <v>9</v>
      </c>
      <c r="F4" s="109" t="s">
        <v>9</v>
      </c>
      <c r="G4" s="109" t="s">
        <v>9</v>
      </c>
      <c r="H4" s="109" t="s">
        <v>21</v>
      </c>
      <c r="I4" s="109" t="s">
        <v>21</v>
      </c>
      <c r="J4" s="110" t="s">
        <v>21</v>
      </c>
      <c r="K4" s="110" t="s">
        <v>21</v>
      </c>
      <c r="L4" s="109" t="s">
        <v>21</v>
      </c>
    </row>
    <row r="5" ht="21" customHeight="1">
      <c r="B5" s="108" t="s">
        <v>2</v>
      </c>
      <c r="C5" s="110" t="s">
        <v>45</v>
      </c>
      <c r="D5" s="110" t="s">
        <v>154</v>
      </c>
      <c r="E5" s="110" t="s">
        <v>157</v>
      </c>
      <c r="F5" s="110" t="s">
        <v>157</v>
      </c>
      <c r="G5" s="110" t="s">
        <v>158</v>
      </c>
      <c r="H5" s="110" t="s">
        <v>160</v>
      </c>
      <c r="I5" s="110" t="s">
        <v>161</v>
      </c>
      <c r="J5" s="110" t="s">
        <v>161</v>
      </c>
      <c r="K5" s="110" t="s">
        <v>162</v>
      </c>
      <c r="L5" s="110" t="s">
        <v>163</v>
      </c>
    </row>
    <row r="6" ht="21" customHeight="1">
      <c r="B6" s="108" t="s">
        <v>152</v>
      </c>
      <c r="C6" s="111">
        <v>3000</v>
      </c>
      <c r="D6" s="111">
        <v>4000</v>
      </c>
      <c r="E6" s="111">
        <v>6000</v>
      </c>
      <c r="F6" s="111">
        <v>8000</v>
      </c>
      <c r="G6" s="111">
        <v>10000</v>
      </c>
      <c r="H6" s="111">
        <v>14000</v>
      </c>
      <c r="I6" s="111">
        <v>16000</v>
      </c>
      <c r="J6" s="111">
        <v>18000</v>
      </c>
      <c r="K6" s="111">
        <v>20000</v>
      </c>
      <c r="L6" s="111">
        <v>25000</v>
      </c>
    </row>
    <row r="7" ht="17.25" customHeight="1">
      <c r="B7" s="108" t="s">
        <v>50</v>
      </c>
      <c r="C7" s="109">
        <v>45665</v>
      </c>
      <c r="D7" s="109">
        <v>45663</v>
      </c>
      <c r="E7" s="109">
        <v>45674</v>
      </c>
      <c r="F7" s="109">
        <v>45667</v>
      </c>
      <c r="G7" s="109">
        <v>45678</v>
      </c>
      <c r="H7" s="109">
        <v>45658</v>
      </c>
      <c r="I7" s="109">
        <v>45660</v>
      </c>
      <c r="J7" s="109">
        <v>45676</v>
      </c>
      <c r="K7" s="109">
        <v>45677</v>
      </c>
      <c r="L7" s="109">
        <v>45667</v>
      </c>
    </row>
    <row r="8" ht="15.6">
      <c r="B8" s="112"/>
      <c r="C8" s="112"/>
      <c r="D8" s="113"/>
      <c r="E8" s="114"/>
      <c r="F8" s="115"/>
      <c r="G8" s="115"/>
      <c r="H8" s="115"/>
      <c r="I8" s="115"/>
      <c r="J8" s="115"/>
      <c r="K8" s="115"/>
      <c r="L8" s="115"/>
    </row>
    <row r="9" ht="17.25" customHeight="1">
      <c r="B9" s="115"/>
      <c r="C9" s="115"/>
      <c r="D9" s="115"/>
      <c r="E9" s="115"/>
      <c r="F9" s="115"/>
      <c r="G9" s="115"/>
      <c r="H9" s="115"/>
      <c r="I9" s="115"/>
      <c r="J9" s="115"/>
      <c r="K9" s="115"/>
      <c r="L9" s="115"/>
    </row>
    <row r="10" ht="16.5" customHeight="1">
      <c r="B10" s="116" t="s">
        <v>233</v>
      </c>
      <c r="C10" s="116" t="s">
        <v>152</v>
      </c>
      <c r="D10" s="116" t="s">
        <v>50</v>
      </c>
      <c r="E10" s="115"/>
      <c r="F10" s="115"/>
      <c r="G10" s="115"/>
      <c r="H10" s="115"/>
      <c r="I10" s="115"/>
      <c r="J10" s="115"/>
      <c r="K10" s="115"/>
      <c r="L10" s="115"/>
    </row>
    <row r="11" ht="16.5" customHeight="1">
      <c r="B11" s="117" t="s">
        <v>154</v>
      </c>
      <c r="C11" s="118">
        <f>HLOOKUP(B11,B5:L6,2)</f>
        <v>4000</v>
      </c>
      <c r="D11" s="119">
        <f>HLOOKUP(B11,B5:L7,3)</f>
        <v>45663</v>
      </c>
      <c r="E11" s="112"/>
      <c r="F11" s="115"/>
      <c r="G11" s="115"/>
      <c r="H11" s="115"/>
      <c r="I11" s="115"/>
      <c r="J11" s="115"/>
      <c r="K11" s="115"/>
      <c r="L11" s="115"/>
    </row>
    <row r="12" ht="18" customHeight="1">
      <c r="B12" s="117" t="s">
        <v>158</v>
      </c>
      <c r="C12" s="118">
        <f>HLOOKUP(B12,B5:L6,2)</f>
        <v>10000</v>
      </c>
      <c r="D12" s="119">
        <f>HLOOKUP(B12,B5:L7,3,FALSE)</f>
        <v>45678</v>
      </c>
      <c r="E12" s="112"/>
      <c r="F12" s="115"/>
      <c r="G12" s="115"/>
      <c r="H12" s="115"/>
      <c r="I12" s="115"/>
      <c r="J12" s="115"/>
      <c r="K12" s="115"/>
      <c r="L12" s="115"/>
    </row>
    <row r="13" ht="18" customHeight="1">
      <c r="B13" s="117" t="s">
        <v>161</v>
      </c>
      <c r="C13" s="118">
        <f>HLOOKUP(B13,B5:L6,2,)</f>
        <v>16000</v>
      </c>
      <c r="D13" s="119">
        <f>HLOOKUP(B13,B5:L7,3,FALSE)</f>
        <v>45660</v>
      </c>
      <c r="E13" s="112"/>
      <c r="F13" s="115"/>
      <c r="G13" s="115"/>
      <c r="H13" s="115"/>
      <c r="I13" s="115"/>
      <c r="J13" s="115"/>
      <c r="K13" s="115"/>
      <c r="L13" s="115"/>
    </row>
    <row r="14" ht="15.6">
      <c r="B14" s="117" t="s">
        <v>160</v>
      </c>
      <c r="C14" s="118">
        <f>HLOOKUP(B14,B5:L6,2,)</f>
        <v>14000</v>
      </c>
      <c r="D14" s="119">
        <f>HLOOKUP(B14,B5:L7,3,FALSE)</f>
        <v>45658</v>
      </c>
      <c r="E14" s="112"/>
      <c r="F14" s="115"/>
      <c r="G14" s="115"/>
      <c r="H14" s="115"/>
      <c r="I14" s="115"/>
      <c r="J14" s="115"/>
      <c r="K14" s="115"/>
      <c r="L14" s="115"/>
    </row>
    <row r="15" ht="15.6">
      <c r="B15" s="120" t="s">
        <v>162</v>
      </c>
      <c r="C15" s="118">
        <f>HLOOKUP(B15,B5:L6,2,)</f>
        <v>20000</v>
      </c>
      <c r="D15" s="119">
        <f>HLOOKUP(B15,B5:L7,3,FALSE)</f>
        <v>45677</v>
      </c>
      <c r="E15" s="115"/>
      <c r="F15" s="115"/>
      <c r="G15" s="115"/>
      <c r="H15" s="115"/>
      <c r="I15" s="115"/>
      <c r="J15" s="115"/>
      <c r="K15" s="115"/>
      <c r="L15" s="115"/>
    </row>
    <row r="16" ht="15.6">
      <c r="B16" s="120" t="s">
        <v>163</v>
      </c>
      <c r="C16" s="118">
        <f>HLOOKUP(B16,B5:L6,2)</f>
        <v>25000</v>
      </c>
      <c r="D16" s="119">
        <f>HLOOKUP(B16,B5:L7,3,FALSE)</f>
        <v>45667</v>
      </c>
      <c r="E16" s="115"/>
      <c r="F16" s="115"/>
      <c r="G16" s="115"/>
      <c r="H16" s="115"/>
      <c r="I16" s="115"/>
      <c r="J16" s="115"/>
      <c r="K16" s="115"/>
      <c r="L16" s="115"/>
    </row>
    <row r="17" ht="15.6">
      <c r="B17" s="120" t="s">
        <v>157</v>
      </c>
      <c r="C17" s="118">
        <f>HLOOKUP(B17,B5:L6,2,)</f>
        <v>6000</v>
      </c>
      <c r="D17" s="119">
        <f>HLOOKUP(B17,B5:L7,3,FALSE)</f>
        <v>45674</v>
      </c>
    </row>
    <row r="18" ht="15.6">
      <c r="B18" s="120" t="s">
        <v>45</v>
      </c>
      <c r="C18" s="118">
        <f>HLOOKUP(B18, $B$5:$L$6, 2, FALSE)</f>
        <v>3000</v>
      </c>
      <c r="D18" s="119">
        <f>HLOOKUP(B18,B5:L7,3,FALSE)</f>
        <v>45665</v>
      </c>
    </row>
  </sheetData>
  <pageMargins left="0.7" right="0.7" top="0.75" bottom="0.75" header="0" footer="0"/>
  <pageSetup r:id="rId1" orientation="portrait"/>
</worksheet>
</file>

<file path=xl/worksheets/sheet15.xml><?xml version="1.0" encoding="utf-8"?>
<worksheet xmlns:r="http://schemas.openxmlformats.org/officeDocument/2006/relationships" xmlns="http://schemas.openxmlformats.org/spreadsheetml/2006/main">
  <sheetPr>
    <tabColor rgb="FFFFC000"/>
  </sheetPr>
  <sheetViews>
    <sheetView zoomScale="145" zoomScaleNormal="145" workbookViewId="0" topLeftCell="D1">
      <selection activeCell="I19" sqref="I19"/>
    </sheetView>
  </sheetViews>
  <sheetFormatPr defaultColWidth="13.19922" defaultRowHeight="15" customHeight="1"/>
  <cols>
    <col min="1" max="1" width="8.398438" style="121" customWidth="1"/>
    <col min="2" max="2" width="16.89844" style="121" customWidth="1"/>
    <col min="3" max="3" width="12.59766" style="121" customWidth="1"/>
    <col min="4" max="4" width="12.39844" style="121" customWidth="1"/>
    <col min="5" max="5" width="9.597656" style="121" customWidth="1"/>
    <col min="6" max="6" width="8.699219" style="121" customWidth="1"/>
    <col min="7" max="7" width="14.69922" style="121" customWidth="1"/>
    <col min="8" max="8" width="13.39844" style="121" customWidth="1"/>
    <col min="9" max="9" width="13.89844" style="121" customWidth="1"/>
    <col min="10" max="10" width="12.89844" style="121" customWidth="1"/>
    <col min="11" max="11" width="14.89844" style="121" customWidth="1"/>
    <col min="12" max="12" width="14.19922" style="121" customWidth="1"/>
    <col min="13" max="13" width="11.39844" style="121" customWidth="1"/>
    <col min="14" max="14" width="9.898438" style="121" customWidth="1"/>
    <col min="15" max="15" width="17.5" style="121" customWidth="1"/>
    <col min="16" max="26" width="8" style="121" customWidth="1"/>
    <col min="27" max="16384" width="13.19922" style="121"/>
  </cols>
  <sheetData>
    <row r="2" ht="18.75" customHeight="1">
      <c r="B2" s="122" t="s">
        <v>2</v>
      </c>
      <c r="C2" s="122" t="s">
        <v>152</v>
      </c>
      <c r="D2" s="122" t="s">
        <v>50</v>
      </c>
      <c r="E2" s="122" t="s">
        <v>151</v>
      </c>
      <c r="F2" s="123"/>
      <c r="G2" s="123"/>
      <c r="H2" s="123"/>
      <c r="I2" s="123"/>
      <c r="J2" s="123"/>
      <c r="K2" s="123"/>
      <c r="L2" s="123"/>
      <c r="M2" s="123"/>
      <c r="N2" s="123"/>
      <c r="O2" s="123"/>
    </row>
    <row r="3" ht="13.5" customHeight="1">
      <c r="B3" s="124" t="s">
        <v>45</v>
      </c>
      <c r="C3" s="125">
        <v>2025</v>
      </c>
      <c r="D3" s="126">
        <v>45665</v>
      </c>
      <c r="E3" s="126" t="s">
        <v>9</v>
      </c>
      <c r="F3" s="123"/>
      <c r="G3" s="127" t="s">
        <v>233</v>
      </c>
      <c r="H3" s="128" t="s">
        <v>154</v>
      </c>
      <c r="I3" s="128" t="s">
        <v>158</v>
      </c>
      <c r="J3" s="128" t="s">
        <v>161</v>
      </c>
      <c r="K3" s="129" t="s">
        <v>160</v>
      </c>
      <c r="L3" s="130" t="s">
        <v>162</v>
      </c>
      <c r="M3" s="130" t="s">
        <v>163</v>
      </c>
      <c r="N3" s="130" t="s">
        <v>157</v>
      </c>
      <c r="O3" s="130" t="s">
        <v>45</v>
      </c>
    </row>
    <row r="4" ht="13.5" customHeight="1">
      <c r="B4" s="124" t="s">
        <v>154</v>
      </c>
      <c r="C4" s="125">
        <v>4000</v>
      </c>
      <c r="D4" s="126">
        <v>45663</v>
      </c>
      <c r="E4" s="126" t="s">
        <v>9</v>
      </c>
      <c r="F4" s="123"/>
      <c r="G4" s="127" t="s">
        <v>152</v>
      </c>
      <c r="H4" s="131">
        <f>VLOOKUP(H3, $B$2:$C$20, 2, FALSE)</f>
        <v>4000</v>
      </c>
      <c r="I4" s="131">
        <f>VLOOKUP(I3, $B$2:$C$20, 2, FALSE)</f>
        <v>10000</v>
      </c>
      <c r="J4" s="131">
        <f t="shared" ref="J4:O4" si="0">VLOOKUP(J3, $B$2:$C$20, 2, FALSE)</f>
        <v>16000</v>
      </c>
      <c r="K4" s="131">
        <f t="shared" si="0"/>
        <v>14000</v>
      </c>
      <c r="L4" s="131">
        <f t="shared" si="0"/>
        <v>20000</v>
      </c>
      <c r="M4" s="131">
        <f t="shared" si="0"/>
        <v>25000</v>
      </c>
      <c r="N4" s="131">
        <f t="shared" si="0"/>
        <v>6000</v>
      </c>
      <c r="O4" s="131">
        <f t="shared" si="0"/>
        <v>2025</v>
      </c>
    </row>
    <row r="5" ht="13.5" customHeight="1">
      <c r="B5" s="124" t="s">
        <v>157</v>
      </c>
      <c r="C5" s="125">
        <v>6000</v>
      </c>
      <c r="D5" s="126">
        <v>45674</v>
      </c>
      <c r="E5" s="126" t="s">
        <v>9</v>
      </c>
      <c r="F5" s="123"/>
      <c r="G5" s="127" t="s">
        <v>50</v>
      </c>
      <c r="H5" s="132">
        <f>VLOOKUP(H3,$B$2:$D$20,3,)</f>
        <v>45663</v>
      </c>
      <c r="I5" s="132">
        <f t="shared" ref="I5:O5" si="1">VLOOKUP(I3,$B$2:$D$20,3,)</f>
        <v>45663</v>
      </c>
      <c r="J5" s="132">
        <f t="shared" si="1"/>
        <v>45660</v>
      </c>
      <c r="K5" s="132">
        <f t="shared" si="1"/>
        <v>45658</v>
      </c>
      <c r="L5" s="132">
        <f>VLOOKUP(L3,$B$2:$D$20,3,)</f>
        <v>45677</v>
      </c>
      <c r="M5" s="132">
        <f t="shared" si="1"/>
        <v>45667</v>
      </c>
      <c r="N5" s="132">
        <f t="shared" si="1"/>
        <v>45674</v>
      </c>
      <c r="O5" s="132">
        <f t="shared" si="1"/>
        <v>45665</v>
      </c>
    </row>
    <row r="6" ht="13.5" customHeight="1">
      <c r="B6" s="124" t="s">
        <v>157</v>
      </c>
      <c r="C6" s="125">
        <v>8000</v>
      </c>
      <c r="D6" s="126">
        <v>45667</v>
      </c>
      <c r="E6" s="126" t="s">
        <v>9</v>
      </c>
      <c r="F6" s="123"/>
      <c r="G6" s="133" t="s">
        <v>151</v>
      </c>
      <c r="H6" s="132" t="str">
        <f>VLOOKUP(H3,$B$2:$E$20,4,)</f>
        <v>East</v>
      </c>
      <c r="I6" s="132" t="str">
        <f t="shared" ref="I6:O6" si="2">VLOOKUP(I3,$B$2:$E$20,4,)</f>
        <v>East</v>
      </c>
      <c r="J6" s="132" t="str">
        <f t="shared" si="2"/>
        <v>North</v>
      </c>
      <c r="K6" s="132" t="str">
        <f t="shared" si="2"/>
        <v>North</v>
      </c>
      <c r="L6" s="132" t="str">
        <f t="shared" si="2"/>
        <v>North</v>
      </c>
      <c r="M6" s="132" t="str">
        <f t="shared" si="2"/>
        <v>North</v>
      </c>
      <c r="N6" s="132" t="str">
        <f>VLOOKUP(N3,$B$2:$E$20,4,)</f>
        <v>East</v>
      </c>
      <c r="O6" s="132" t="str">
        <f t="shared" si="2"/>
        <v>East</v>
      </c>
    </row>
    <row r="7" ht="13.5" customHeight="1">
      <c r="B7" s="124" t="s">
        <v>158</v>
      </c>
      <c r="C7" s="125">
        <v>10000</v>
      </c>
      <c r="D7" s="126">
        <v>45663</v>
      </c>
      <c r="E7" s="126" t="s">
        <v>9</v>
      </c>
      <c r="F7" s="123"/>
      <c r="G7" s="123"/>
      <c r="H7" s="134"/>
      <c r="I7" s="134"/>
      <c r="J7" s="135"/>
      <c r="K7" s="123"/>
      <c r="L7" s="123"/>
      <c r="M7" s="123"/>
      <c r="N7" s="123"/>
      <c r="O7" s="123"/>
    </row>
    <row r="8" ht="13.5" customHeight="1">
      <c r="B8" s="124" t="s">
        <v>160</v>
      </c>
      <c r="C8" s="125">
        <v>14000</v>
      </c>
      <c r="D8" s="126">
        <v>45658</v>
      </c>
      <c r="E8" s="126" t="s">
        <v>21</v>
      </c>
      <c r="F8" s="123"/>
      <c r="G8" s="123"/>
      <c r="H8" s="123"/>
      <c r="I8" s="123"/>
      <c r="J8" s="123"/>
      <c r="K8" s="123"/>
      <c r="L8" s="123"/>
      <c r="M8" s="123"/>
      <c r="N8" s="123"/>
      <c r="O8" s="123"/>
    </row>
    <row r="9" ht="13.5" customHeight="1">
      <c r="B9" s="124" t="s">
        <v>161</v>
      </c>
      <c r="C9" s="125">
        <v>16000</v>
      </c>
      <c r="D9" s="126">
        <v>45660</v>
      </c>
      <c r="E9" s="126" t="s">
        <v>21</v>
      </c>
      <c r="F9" s="123"/>
      <c r="G9" s="123"/>
      <c r="H9" s="123"/>
      <c r="I9" s="123"/>
      <c r="J9" s="123"/>
      <c r="K9" s="123"/>
      <c r="L9" s="123"/>
      <c r="M9" s="123"/>
      <c r="N9" s="123"/>
      <c r="O9" s="123"/>
    </row>
    <row r="10" ht="13.5" customHeight="1">
      <c r="B10" s="124" t="s">
        <v>161</v>
      </c>
      <c r="C10" s="125">
        <v>18000</v>
      </c>
      <c r="D10" s="126">
        <v>45676</v>
      </c>
      <c r="E10" s="124" t="s">
        <v>21</v>
      </c>
      <c r="F10" s="123"/>
      <c r="G10" s="123"/>
      <c r="H10" s="136"/>
      <c r="I10" s="123"/>
      <c r="J10" s="123"/>
      <c r="K10" s="123"/>
      <c r="L10" s="123"/>
      <c r="M10" s="123"/>
      <c r="N10" s="123"/>
      <c r="O10" s="123"/>
    </row>
    <row r="11" ht="13.5" customHeight="1">
      <c r="B11" s="124" t="s">
        <v>162</v>
      </c>
      <c r="C11" s="125">
        <v>20000</v>
      </c>
      <c r="D11" s="126">
        <v>45677</v>
      </c>
      <c r="E11" s="124" t="s">
        <v>21</v>
      </c>
      <c r="F11" s="123"/>
      <c r="G11" s="123"/>
      <c r="H11" s="123"/>
      <c r="I11" s="123"/>
      <c r="J11" s="123"/>
      <c r="K11" s="123"/>
      <c r="L11" s="123"/>
      <c r="M11" s="123"/>
      <c r="N11" s="123"/>
      <c r="O11" s="123"/>
    </row>
    <row r="12" ht="13.5" customHeight="1">
      <c r="B12" s="124" t="s">
        <v>163</v>
      </c>
      <c r="C12" s="125">
        <v>25000</v>
      </c>
      <c r="D12" s="126">
        <v>45667</v>
      </c>
      <c r="E12" s="126" t="s">
        <v>21</v>
      </c>
      <c r="F12" s="123"/>
      <c r="G12" s="123"/>
      <c r="H12" s="123"/>
      <c r="I12" s="123"/>
      <c r="J12" s="123"/>
      <c r="K12" s="123"/>
      <c r="L12" s="123"/>
      <c r="M12" s="123"/>
      <c r="N12" s="123"/>
      <c r="O12" s="123"/>
    </row>
    <row r="13" ht="13.5" customHeight="1">
      <c r="B13" s="124" t="s">
        <v>45</v>
      </c>
      <c r="C13" s="125">
        <v>28000</v>
      </c>
      <c r="D13" s="126">
        <v>45672</v>
      </c>
      <c r="E13" s="126" t="s">
        <v>6</v>
      </c>
      <c r="F13" s="123"/>
      <c r="G13" s="123"/>
      <c r="H13" s="123"/>
      <c r="I13" s="123"/>
      <c r="J13" s="123"/>
      <c r="K13" s="123"/>
      <c r="L13" s="123"/>
      <c r="M13" s="123"/>
      <c r="N13" s="123"/>
      <c r="O13" s="123"/>
    </row>
    <row r="14" ht="13.5" customHeight="1">
      <c r="B14" s="124" t="s">
        <v>164</v>
      </c>
      <c r="C14" s="125">
        <v>30000</v>
      </c>
      <c r="D14" s="126">
        <v>45670</v>
      </c>
      <c r="E14" s="126" t="s">
        <v>6</v>
      </c>
      <c r="F14" s="123"/>
      <c r="G14" s="123"/>
      <c r="H14" s="123"/>
      <c r="I14" s="123"/>
      <c r="J14" s="123"/>
      <c r="K14" s="123"/>
      <c r="L14" s="123"/>
      <c r="M14" s="123"/>
      <c r="N14" s="123"/>
      <c r="O14" s="123"/>
    </row>
    <row r="15" ht="13.5" customHeight="1">
      <c r="B15" s="124" t="s">
        <v>165</v>
      </c>
      <c r="C15" s="125">
        <v>30000</v>
      </c>
      <c r="D15" s="126">
        <v>45670</v>
      </c>
      <c r="E15" s="126" t="s">
        <v>6</v>
      </c>
      <c r="F15" s="123"/>
      <c r="G15" s="123"/>
      <c r="H15" s="123"/>
      <c r="I15" s="123"/>
      <c r="J15" s="123"/>
      <c r="K15" s="123"/>
      <c r="L15" s="123"/>
      <c r="M15" s="123"/>
      <c r="N15" s="123"/>
      <c r="O15" s="123"/>
    </row>
    <row r="16" ht="13.5" customHeight="1">
      <c r="B16" s="124" t="s">
        <v>160</v>
      </c>
      <c r="C16" s="125">
        <v>36000</v>
      </c>
      <c r="D16" s="126">
        <v>45668</v>
      </c>
      <c r="E16" s="126" t="s">
        <v>15</v>
      </c>
      <c r="F16" s="123"/>
      <c r="G16" s="123"/>
      <c r="H16" s="123"/>
      <c r="I16" s="123"/>
      <c r="J16" s="123"/>
      <c r="K16" s="123"/>
      <c r="L16" s="123"/>
      <c r="M16" s="123"/>
      <c r="N16" s="123"/>
      <c r="O16" s="123"/>
    </row>
    <row r="17" ht="13.5" customHeight="1">
      <c r="B17" s="124" t="s">
        <v>160</v>
      </c>
      <c r="C17" s="125">
        <v>50000</v>
      </c>
      <c r="D17" s="126">
        <v>45669</v>
      </c>
      <c r="E17" s="126" t="s">
        <v>15</v>
      </c>
    </row>
    <row r="18" ht="13.5" customHeight="1">
      <c r="B18" s="124" t="s">
        <v>164</v>
      </c>
      <c r="C18" s="125">
        <v>38000</v>
      </c>
      <c r="D18" s="126">
        <v>45664</v>
      </c>
      <c r="E18" s="126" t="s">
        <v>15</v>
      </c>
    </row>
    <row r="19" ht="13.5" customHeight="1">
      <c r="B19" s="137" t="s">
        <v>157</v>
      </c>
      <c r="C19" s="125">
        <v>40000</v>
      </c>
      <c r="D19" s="138">
        <v>45679</v>
      </c>
      <c r="E19" s="137" t="s">
        <v>15</v>
      </c>
    </row>
    <row r="20" ht="13.5" customHeight="1">
      <c r="B20" s="139" t="s">
        <v>162</v>
      </c>
      <c r="C20" s="125">
        <v>42000</v>
      </c>
      <c r="D20" s="140">
        <v>45661</v>
      </c>
      <c r="E20" s="140" t="s">
        <v>15</v>
      </c>
    </row>
  </sheetData>
  <pageMargins left="0.7" right="0.7" top="0.75" bottom="0.75" header="0" footer="0"/>
  <pageSetup r:id="rId1" orientation="landscape"/>
</worksheet>
</file>

<file path=xl/worksheets/sheet16.xml><?xml version="1.0" encoding="utf-8"?>
<worksheet xmlns:r="http://schemas.openxmlformats.org/officeDocument/2006/relationships" xmlns="http://schemas.openxmlformats.org/spreadsheetml/2006/main">
  <sheetPr>
    <tabColor rgb="FFFF99FF"/>
  </sheetPr>
  <sheetViews>
    <sheetView zoomScale="175" zoomScaleNormal="175" workbookViewId="0">
      <selection activeCell="H17" sqref="H17"/>
    </sheetView>
  </sheetViews>
  <sheetFormatPr defaultColWidth="13.19922" defaultRowHeight="15" customHeight="1"/>
  <cols>
    <col min="1" max="1" width="8" style="121" customWidth="1"/>
    <col min="2" max="2" width="14.59766" style="121" bestFit="1" customWidth="1"/>
    <col min="3" max="3" width="14.89844" style="121" customWidth="1"/>
    <col min="4" max="4" width="11.19922" style="121" customWidth="1"/>
    <col min="5" max="5" width="14.59766" style="121" customWidth="1"/>
    <col min="6" max="6" width="13.19922" style="121" bestFit="1" customWidth="1"/>
    <col min="7" max="7" width="15.5" style="121" bestFit="1" customWidth="1"/>
    <col min="8" max="10" width="10.39844" style="121" bestFit="1" customWidth="1"/>
    <col min="11" max="26" width="8" style="121" customWidth="1"/>
    <col min="27" max="16384" width="13.19922" style="121"/>
  </cols>
  <sheetData>
    <row r="3" ht="18.75" customHeight="1">
      <c r="B3" s="141" t="s">
        <v>2</v>
      </c>
      <c r="C3" s="141" t="s">
        <v>152</v>
      </c>
      <c r="D3" s="142"/>
      <c r="E3" s="142"/>
      <c r="F3" s="142"/>
      <c r="G3" s="142"/>
      <c r="H3" s="142"/>
      <c r="I3" s="143"/>
      <c r="J3" s="143"/>
    </row>
    <row r="4" ht="16.5" customHeight="1">
      <c r="B4" s="144" t="s">
        <v>45</v>
      </c>
      <c r="C4" s="145">
        <v>2000</v>
      </c>
      <c r="D4" s="142"/>
      <c r="E4" s="142"/>
      <c r="F4" s="146" t="s">
        <v>233</v>
      </c>
      <c r="G4" s="147" t="s">
        <v>152</v>
      </c>
      <c r="H4" s="143"/>
      <c r="I4" s="143"/>
      <c r="J4" s="143"/>
    </row>
    <row r="5" ht="15.75" customHeight="1">
      <c r="B5" s="144" t="s">
        <v>160</v>
      </c>
      <c r="C5" s="145">
        <v>14000</v>
      </c>
      <c r="D5" s="142"/>
      <c r="E5" s="142"/>
      <c r="F5" s="146" t="s">
        <v>162</v>
      </c>
      <c r="G5" s="148">
        <f>LOOKUP(F5,$B$3:$C$13)</f>
        <v>20000</v>
      </c>
      <c r="H5" s="143"/>
      <c r="I5" s="143"/>
      <c r="J5" s="143"/>
    </row>
    <row r="6" ht="15" customHeight="1">
      <c r="B6" s="144" t="s">
        <v>161</v>
      </c>
      <c r="C6" s="145">
        <v>16000</v>
      </c>
      <c r="D6" s="142"/>
      <c r="E6" s="149"/>
      <c r="F6" s="146" t="s">
        <v>154</v>
      </c>
      <c r="G6" s="148">
        <f t="shared" ref="G6:G8" si="0">LOOKUP(F6,$B$3:$C$13)</f>
        <v>4000</v>
      </c>
      <c r="H6" s="143"/>
      <c r="I6" s="143"/>
      <c r="J6" s="143"/>
    </row>
    <row r="7" ht="16.5" customHeight="1">
      <c r="B7" s="144" t="s">
        <v>164</v>
      </c>
      <c r="C7" s="145">
        <v>30000</v>
      </c>
      <c r="D7" s="142"/>
      <c r="E7" s="149"/>
      <c r="F7" s="146" t="s">
        <v>160</v>
      </c>
      <c r="G7" s="148">
        <f t="shared" si="0"/>
        <v>14000</v>
      </c>
      <c r="H7" s="143"/>
      <c r="I7" s="143"/>
      <c r="J7" s="143"/>
    </row>
    <row r="8" ht="18.75" customHeight="1">
      <c r="B8" s="144" t="s">
        <v>154</v>
      </c>
      <c r="C8" s="145">
        <v>4000</v>
      </c>
      <c r="D8" s="142"/>
      <c r="E8" s="149"/>
      <c r="F8" s="146" t="s">
        <v>165</v>
      </c>
      <c r="G8" s="148">
        <f t="shared" si="0"/>
        <v>20000</v>
      </c>
      <c r="H8" s="143"/>
      <c r="I8" s="143"/>
      <c r="J8" s="143"/>
    </row>
    <row r="9" ht="18.75" customHeight="1">
      <c r="B9" s="144" t="s">
        <v>165</v>
      </c>
      <c r="C9" s="145">
        <v>20000</v>
      </c>
      <c r="D9" s="142"/>
      <c r="E9" s="149"/>
      <c r="F9" s="149"/>
      <c r="G9" s="149"/>
      <c r="H9" s="149"/>
      <c r="I9" s="143"/>
      <c r="J9" s="143"/>
    </row>
    <row r="10" ht="18.75" customHeight="1">
      <c r="B10" s="144" t="s">
        <v>157</v>
      </c>
      <c r="C10" s="145">
        <v>16000</v>
      </c>
      <c r="D10" s="142"/>
      <c r="E10" s="149"/>
      <c r="F10" s="149"/>
      <c r="G10" s="149"/>
      <c r="H10" s="149"/>
      <c r="I10" s="143"/>
      <c r="J10" s="143"/>
    </row>
    <row r="11" ht="18.75" customHeight="1">
      <c r="B11" s="144" t="s">
        <v>162</v>
      </c>
      <c r="C11" s="145">
        <v>20000</v>
      </c>
      <c r="D11" s="142"/>
      <c r="E11" s="142"/>
      <c r="F11" s="142"/>
      <c r="G11" s="142"/>
      <c r="H11" s="142"/>
      <c r="I11" s="143"/>
      <c r="J11" s="143"/>
    </row>
    <row r="12" ht="18.75" customHeight="1">
      <c r="B12" s="144" t="s">
        <v>158</v>
      </c>
      <c r="C12" s="145">
        <v>10000</v>
      </c>
      <c r="D12" s="142"/>
      <c r="E12" s="142"/>
      <c r="F12" s="142"/>
      <c r="G12" s="142"/>
      <c r="H12" s="142"/>
      <c r="I12" s="143"/>
      <c r="J12" s="143"/>
    </row>
    <row r="13" ht="18.75" customHeight="1">
      <c r="B13" s="144" t="s">
        <v>163</v>
      </c>
      <c r="C13" s="145">
        <v>25000</v>
      </c>
      <c r="D13" s="142"/>
      <c r="E13" s="142"/>
      <c r="F13" s="142"/>
      <c r="G13" s="142"/>
      <c r="H13" s="142"/>
      <c r="I13" s="143"/>
      <c r="J13" s="143"/>
    </row>
    <row r="14" ht="20.25" customHeight="1">
      <c r="B14" s="143"/>
      <c r="C14" s="143"/>
      <c r="D14" s="143"/>
      <c r="E14" s="143"/>
      <c r="F14" s="143"/>
      <c r="G14" s="143"/>
      <c r="H14" s="143"/>
      <c r="I14" s="143"/>
      <c r="J14" s="143"/>
    </row>
    <row r="15" ht="15.6">
      <c r="B15" s="143"/>
      <c r="C15" s="143"/>
      <c r="D15" s="143"/>
      <c r="E15" s="143"/>
      <c r="F15" s="143"/>
      <c r="G15" s="143"/>
      <c r="H15" s="143"/>
      <c r="I15" s="143"/>
      <c r="J15" s="143"/>
    </row>
    <row r="16" ht="16.8">
      <c r="B16" s="150" t="s">
        <v>2</v>
      </c>
      <c r="C16" s="150" t="s">
        <v>50</v>
      </c>
      <c r="D16" s="150" t="s">
        <v>151</v>
      </c>
      <c r="E16" s="150" t="s">
        <v>152</v>
      </c>
      <c r="F16" s="143"/>
      <c r="G16" s="146" t="s">
        <v>233</v>
      </c>
      <c r="H16" s="151" t="s">
        <v>152</v>
      </c>
      <c r="I16" s="151" t="s">
        <v>151</v>
      </c>
      <c r="J16" s="152" t="s">
        <v>50</v>
      </c>
    </row>
    <row r="17" ht="15.6">
      <c r="B17" s="153" t="s">
        <v>45</v>
      </c>
      <c r="C17" s="154">
        <v>36526</v>
      </c>
      <c r="D17" s="154" t="s">
        <v>21</v>
      </c>
      <c r="E17" s="145">
        <v>14000</v>
      </c>
      <c r="F17" s="143"/>
      <c r="G17" s="146" t="s">
        <v>162</v>
      </c>
      <c r="H17" s="155">
        <f>LOOKUP(G17,$B$16:$E$34)</f>
        <v>28000</v>
      </c>
      <c r="I17" s="156" t="str">
        <f>LOOKUP(G17,$B$17:$D$34)</f>
        <v>South</v>
      </c>
      <c r="J17" s="156">
        <f>LOOKUP(G17,$B$17:$C$32)</f>
        <v>36540</v>
      </c>
    </row>
    <row r="18" ht="15.6">
      <c r="B18" s="153" t="s">
        <v>45</v>
      </c>
      <c r="C18" s="154">
        <v>36528</v>
      </c>
      <c r="D18" s="154" t="s">
        <v>21</v>
      </c>
      <c r="E18" s="145">
        <v>16000</v>
      </c>
      <c r="F18" s="143"/>
      <c r="G18" s="146" t="s">
        <v>154</v>
      </c>
      <c r="H18" s="155">
        <f t="shared" ref="H18:H23" si="1">LOOKUP(G18,$B$16:$E$34)</f>
        <v>20000</v>
      </c>
      <c r="I18" s="156" t="str">
        <f t="shared" ref="I18:I23" si="2">LOOKUP(G18,$B$17:$D$34)</f>
        <v>South</v>
      </c>
      <c r="J18" s="156">
        <f t="shared" ref="J18:J23" si="3">LOOKUP(G18,$B$17:$C$32)</f>
        <v>36538</v>
      </c>
    </row>
    <row r="19" ht="15.6">
      <c r="B19" s="153" t="s">
        <v>160</v>
      </c>
      <c r="C19" s="154">
        <v>36533</v>
      </c>
      <c r="D19" s="154" t="s">
        <v>9</v>
      </c>
      <c r="E19" s="145">
        <v>2000</v>
      </c>
      <c r="F19" s="143"/>
      <c r="G19" s="146" t="s">
        <v>160</v>
      </c>
      <c r="H19" s="155">
        <f t="shared" si="1"/>
        <v>50000</v>
      </c>
      <c r="I19" s="156" t="str">
        <f t="shared" si="2"/>
        <v>West</v>
      </c>
      <c r="J19" s="156">
        <f t="shared" si="3"/>
        <v>36537</v>
      </c>
    </row>
    <row r="20" ht="15.6">
      <c r="B20" s="153" t="s">
        <v>160</v>
      </c>
      <c r="C20" s="154">
        <v>36531</v>
      </c>
      <c r="D20" s="154" t="s">
        <v>9</v>
      </c>
      <c r="E20" s="145">
        <v>4000</v>
      </c>
      <c r="F20" s="143"/>
      <c r="G20" s="146" t="s">
        <v>165</v>
      </c>
      <c r="H20" s="155">
        <f t="shared" si="1"/>
        <v>42000</v>
      </c>
      <c r="I20" s="156" t="str">
        <f t="shared" si="2"/>
        <v>West</v>
      </c>
      <c r="J20" s="156">
        <f t="shared" si="3"/>
        <v>36529</v>
      </c>
    </row>
    <row r="21" ht="15.6">
      <c r="B21" s="153" t="s">
        <v>160</v>
      </c>
      <c r="C21" s="154">
        <v>36537</v>
      </c>
      <c r="D21" s="154" t="s">
        <v>15</v>
      </c>
      <c r="E21" s="145">
        <v>50000</v>
      </c>
      <c r="F21" s="143"/>
      <c r="G21" s="146" t="s">
        <v>234</v>
      </c>
      <c r="H21" s="155">
        <f t="shared" si="1"/>
        <v>16000</v>
      </c>
      <c r="I21" s="156" t="str">
        <f t="shared" si="2"/>
        <v>North</v>
      </c>
      <c r="J21" s="156">
        <f t="shared" si="3"/>
        <v>36528</v>
      </c>
    </row>
    <row r="22" ht="15.6">
      <c r="B22" s="153" t="s">
        <v>161</v>
      </c>
      <c r="C22" s="154">
        <v>36544</v>
      </c>
      <c r="D22" s="153" t="s">
        <v>21</v>
      </c>
      <c r="E22" s="145">
        <v>18000</v>
      </c>
      <c r="F22" s="143"/>
      <c r="G22" s="146" t="s">
        <v>158</v>
      </c>
      <c r="H22" s="155">
        <f t="shared" si="1"/>
        <v>25000</v>
      </c>
      <c r="I22" s="156" t="str">
        <f t="shared" si="2"/>
        <v>North</v>
      </c>
      <c r="J22" s="156">
        <f t="shared" si="3"/>
        <v>36540</v>
      </c>
    </row>
    <row r="23" ht="15.6">
      <c r="B23" s="153" t="s">
        <v>161</v>
      </c>
      <c r="C23" s="154">
        <v>36538</v>
      </c>
      <c r="D23" s="154" t="s">
        <v>6</v>
      </c>
      <c r="E23" s="145">
        <v>30000</v>
      </c>
      <c r="F23" s="143"/>
      <c r="G23" s="146" t="s">
        <v>164</v>
      </c>
      <c r="H23" s="155">
        <f t="shared" si="1"/>
        <v>38000</v>
      </c>
      <c r="I23" s="156" t="str">
        <f t="shared" si="2"/>
        <v>West</v>
      </c>
      <c r="J23" s="156">
        <f t="shared" si="3"/>
        <v>36532</v>
      </c>
    </row>
    <row r="24" ht="15.6">
      <c r="B24" s="153" t="s">
        <v>164</v>
      </c>
      <c r="C24" s="154">
        <v>36542</v>
      </c>
      <c r="D24" s="154" t="s">
        <v>9</v>
      </c>
      <c r="E24" s="145">
        <v>6000</v>
      </c>
      <c r="F24" s="143"/>
      <c r="G24" s="143"/>
      <c r="H24" s="143"/>
      <c r="I24" s="143"/>
      <c r="J24" s="143"/>
    </row>
    <row r="25" ht="15.6">
      <c r="B25" s="153" t="s">
        <v>164</v>
      </c>
      <c r="C25" s="154">
        <v>36532</v>
      </c>
      <c r="D25" s="154" t="s">
        <v>15</v>
      </c>
      <c r="E25" s="145">
        <v>38000</v>
      </c>
      <c r="F25" s="143"/>
      <c r="G25" s="143"/>
      <c r="H25" s="143"/>
      <c r="I25" s="143"/>
      <c r="J25" s="143"/>
    </row>
    <row r="26" ht="15.6">
      <c r="B26" s="153" t="s">
        <v>154</v>
      </c>
      <c r="C26" s="154">
        <v>36538</v>
      </c>
      <c r="D26" s="154" t="s">
        <v>6</v>
      </c>
      <c r="E26" s="145">
        <v>20000</v>
      </c>
      <c r="F26" s="143"/>
      <c r="G26" s="143"/>
      <c r="H26" s="143"/>
      <c r="I26" s="143"/>
      <c r="J26" s="143"/>
    </row>
    <row r="27" ht="15.6">
      <c r="B27" s="153" t="s">
        <v>165</v>
      </c>
      <c r="C27" s="154">
        <v>36529</v>
      </c>
      <c r="D27" s="154" t="s">
        <v>15</v>
      </c>
      <c r="E27" s="145">
        <v>42000</v>
      </c>
      <c r="F27" s="143"/>
      <c r="G27" s="143"/>
      <c r="H27" s="143"/>
      <c r="I27" s="143"/>
      <c r="J27" s="143"/>
    </row>
    <row r="28" ht="15.6">
      <c r="B28" s="153" t="s">
        <v>157</v>
      </c>
      <c r="C28" s="154">
        <v>36535</v>
      </c>
      <c r="D28" s="154" t="s">
        <v>9</v>
      </c>
      <c r="E28" s="145">
        <v>8000</v>
      </c>
      <c r="F28" s="143"/>
      <c r="G28" s="143"/>
      <c r="H28" s="143"/>
      <c r="I28" s="143"/>
      <c r="J28" s="143"/>
    </row>
    <row r="29" ht="15.6">
      <c r="B29" s="153" t="s">
        <v>157</v>
      </c>
      <c r="C29" s="154">
        <v>36545</v>
      </c>
      <c r="D29" s="153" t="s">
        <v>21</v>
      </c>
      <c r="E29" s="145">
        <v>20000</v>
      </c>
      <c r="F29" s="143"/>
      <c r="G29" s="143"/>
      <c r="H29" s="143"/>
      <c r="I29" s="143"/>
      <c r="J29" s="143"/>
    </row>
    <row r="30" ht="15.6">
      <c r="B30" s="153" t="s">
        <v>157</v>
      </c>
      <c r="C30" s="154">
        <v>36547</v>
      </c>
      <c r="D30" s="153" t="s">
        <v>15</v>
      </c>
      <c r="E30" s="145">
        <v>40000</v>
      </c>
      <c r="F30" s="143"/>
      <c r="G30" s="143"/>
      <c r="H30" s="143"/>
      <c r="I30" s="143"/>
      <c r="J30" s="143"/>
    </row>
    <row r="31" ht="15.6">
      <c r="B31" s="153" t="s">
        <v>162</v>
      </c>
      <c r="C31" s="154">
        <v>36531</v>
      </c>
      <c r="D31" s="154" t="s">
        <v>9</v>
      </c>
      <c r="E31" s="145">
        <v>10000</v>
      </c>
      <c r="F31" s="143"/>
      <c r="G31" s="143"/>
      <c r="H31" s="143"/>
      <c r="I31" s="143"/>
      <c r="J31" s="143"/>
    </row>
    <row r="32" ht="15.6">
      <c r="B32" s="157" t="s">
        <v>162</v>
      </c>
      <c r="C32" s="158">
        <v>36540</v>
      </c>
      <c r="D32" s="158" t="s">
        <v>6</v>
      </c>
      <c r="E32" s="145">
        <v>28000</v>
      </c>
      <c r="F32" s="143"/>
      <c r="G32" s="143"/>
      <c r="H32" s="143"/>
      <c r="I32" s="143"/>
      <c r="J32" s="143"/>
    </row>
    <row r="33" ht="15.6">
      <c r="B33" s="159" t="s">
        <v>158</v>
      </c>
      <c r="C33" s="160">
        <v>36535</v>
      </c>
      <c r="D33" s="160" t="s">
        <v>21</v>
      </c>
      <c r="E33" s="145">
        <v>25000</v>
      </c>
    </row>
    <row r="34" ht="15.6">
      <c r="B34" s="153" t="s">
        <v>163</v>
      </c>
      <c r="C34" s="154">
        <v>36536</v>
      </c>
      <c r="D34" s="154" t="s">
        <v>15</v>
      </c>
      <c r="E34" s="145">
        <v>36000</v>
      </c>
    </row>
  </sheetData>
  <pageMargins left="0.7" right="0.7" top="0.75" bottom="0.75" header="0" footer="0"/>
  <pageSetup r:id="rId1" orientation="landscape"/>
</worksheet>
</file>

<file path=xl/worksheets/sheet17.xml><?xml version="1.0" encoding="utf-8"?>
<worksheet xmlns:r="http://schemas.openxmlformats.org/officeDocument/2006/relationships" xmlns="http://schemas.openxmlformats.org/spreadsheetml/2006/main">
  <sheetPr>
    <tabColor rgb="FFFFC000"/>
  </sheetPr>
  <sheetViews>
    <sheetView zoomScale="205" zoomScaleNormal="205" workbookViewId="0" topLeftCell="A65">
      <selection activeCell="G69" sqref="G69"/>
    </sheetView>
  </sheetViews>
  <sheetFormatPr defaultColWidth="13.19922" defaultRowHeight="15" customHeight="1"/>
  <cols>
    <col min="1" max="1" width="9.597656" style="161" customWidth="1"/>
    <col min="2" max="2" width="17.5" style="161" customWidth="1"/>
    <col min="3" max="3" width="15.39844" style="161" customWidth="1"/>
    <col min="4" max="4" width="17.89844" style="161" customWidth="1"/>
    <col min="5" max="5" width="12.59766" style="161" customWidth="1"/>
    <col min="6" max="6" width="13.5" style="161" customWidth="1"/>
    <col min="7" max="7" width="16.5" style="161" bestFit="1" customWidth="1"/>
    <col min="8" max="8" width="16" style="161" bestFit="1" customWidth="1"/>
    <col min="9" max="9" width="28.5" style="161" customWidth="1"/>
    <col min="10" max="10" width="11.09766" style="161" customWidth="1"/>
    <col min="11" max="11" width="10.59766" style="161" customWidth="1"/>
    <col min="12" max="12" width="12.09766" style="161" customWidth="1"/>
    <col min="13" max="14" width="12.39844" style="161" customWidth="1"/>
    <col min="15" max="15" width="11.39844" style="161" customWidth="1"/>
    <col min="16" max="16" width="11.89844" style="161" customWidth="1"/>
    <col min="17" max="17" width="13.19922" style="161" customWidth="1"/>
    <col min="18" max="18" width="13.39844" style="161" customWidth="1"/>
    <col min="19" max="19" width="12.89844" style="161" customWidth="1"/>
    <col min="20" max="26" width="15.39844" style="161" customWidth="1"/>
    <col min="27" max="16384" width="13.19922" style="161"/>
  </cols>
  <sheetData>
    <row r="1" ht="15" customHeight="1">
      <c r="A1" s="68"/>
      <c r="B1" s="68"/>
      <c r="C1" s="68"/>
      <c r="D1" s="68"/>
      <c r="E1" s="68"/>
      <c r="F1" s="68"/>
      <c r="G1" s="68"/>
      <c r="H1" s="68"/>
      <c r="I1" s="68"/>
      <c r="J1" s="68"/>
      <c r="K1" s="68"/>
      <c r="L1" s="68"/>
      <c r="M1" s="68"/>
      <c r="N1" s="68"/>
      <c r="O1" s="68"/>
      <c r="P1" s="68"/>
      <c r="Q1" s="68"/>
      <c r="R1" s="68"/>
      <c r="S1" s="68"/>
      <c r="T1" s="68"/>
      <c r="U1" s="68"/>
      <c r="V1" s="68"/>
      <c r="W1" s="68"/>
      <c r="X1" s="68"/>
      <c r="Y1" s="68"/>
      <c r="Z1" s="68"/>
    </row>
    <row r="2" ht="19.5" customHeight="1">
      <c r="A2" s="68"/>
      <c r="B2" s="162" t="s">
        <v>50</v>
      </c>
      <c r="C2" s="162" t="s">
        <v>151</v>
      </c>
      <c r="D2" s="162" t="s">
        <v>2</v>
      </c>
      <c r="E2" s="162" t="s">
        <v>152</v>
      </c>
      <c r="F2" s="68"/>
      <c r="G2" s="68"/>
      <c r="H2" s="68"/>
      <c r="I2" s="68"/>
      <c r="J2" s="68"/>
      <c r="K2" s="68"/>
      <c r="L2" s="68"/>
      <c r="M2" s="68"/>
      <c r="N2" s="68"/>
      <c r="O2" s="68"/>
      <c r="P2" s="68"/>
      <c r="Q2" s="68"/>
      <c r="R2" s="68"/>
      <c r="S2" s="68"/>
      <c r="T2" s="68"/>
      <c r="U2" s="68"/>
      <c r="V2" s="68"/>
      <c r="W2" s="68"/>
      <c r="X2" s="68"/>
      <c r="Y2" s="68"/>
      <c r="Z2" s="68"/>
    </row>
    <row r="3" ht="15.6">
      <c r="A3" s="68"/>
      <c r="B3" s="163">
        <v>36739</v>
      </c>
      <c r="C3" s="164" t="s">
        <v>9</v>
      </c>
      <c r="D3" s="164" t="s">
        <v>45</v>
      </c>
      <c r="E3" s="164">
        <v>2000</v>
      </c>
      <c r="F3" s="68"/>
      <c r="G3" s="68"/>
      <c r="H3" s="68"/>
      <c r="I3" s="68"/>
      <c r="J3" s="68"/>
      <c r="K3" s="68"/>
      <c r="L3" s="68"/>
      <c r="M3" s="68"/>
      <c r="N3" s="68"/>
      <c r="O3" s="68"/>
      <c r="P3" s="68"/>
      <c r="Q3" s="68"/>
      <c r="R3" s="68"/>
      <c r="S3" s="68"/>
      <c r="T3" s="68"/>
      <c r="U3" s="68"/>
      <c r="V3" s="68"/>
      <c r="W3" s="68"/>
      <c r="X3" s="68"/>
      <c r="Y3" s="68"/>
      <c r="Z3" s="68"/>
    </row>
    <row r="4" ht="15.75" customHeight="1">
      <c r="A4" s="68"/>
      <c r="B4" s="163" t="s">
        <v>235</v>
      </c>
      <c r="C4" s="164" t="s">
        <v>6</v>
      </c>
      <c r="D4" s="164" t="s">
        <v>45</v>
      </c>
      <c r="E4" s="164">
        <v>28000</v>
      </c>
      <c r="F4" s="68"/>
      <c r="G4" s="165" t="s">
        <v>233</v>
      </c>
      <c r="H4" s="165" t="s">
        <v>151</v>
      </c>
      <c r="I4" s="165" t="s">
        <v>152</v>
      </c>
      <c r="J4" s="166" t="s">
        <v>236</v>
      </c>
      <c r="L4" s="68"/>
      <c r="M4" s="68"/>
      <c r="N4" s="68"/>
      <c r="O4" s="68"/>
      <c r="P4" s="68"/>
      <c r="Q4" s="68"/>
      <c r="R4" s="68"/>
      <c r="S4" s="68"/>
      <c r="T4" s="68"/>
      <c r="U4" s="68"/>
      <c r="V4" s="68"/>
      <c r="W4" s="68"/>
      <c r="X4" s="68"/>
      <c r="Y4" s="68"/>
      <c r="Z4" s="68"/>
    </row>
    <row r="5" ht="15.6">
      <c r="A5" s="68"/>
      <c r="B5" s="163">
        <v>36526</v>
      </c>
      <c r="C5" s="164" t="s">
        <v>21</v>
      </c>
      <c r="D5" s="164" t="s">
        <v>160</v>
      </c>
      <c r="E5" s="164">
        <v>14000</v>
      </c>
      <c r="F5" s="68"/>
      <c r="G5" s="167" t="s">
        <v>45</v>
      </c>
      <c r="H5" s="168" t="str">
        <f>_xlfn.XLOOKUP(G5,$D$3:$D$19,$C$3:$C$19)</f>
        <v>East</v>
      </c>
      <c r="I5" s="169">
        <f>_xlfn.XLOOKUP(G5,$D$3:$D$19,$E$3:$E$19)</f>
        <v>2000</v>
      </c>
      <c r="J5" s="170"/>
      <c r="L5" s="68"/>
      <c r="M5" s="68"/>
      <c r="N5" s="68"/>
      <c r="O5" s="68"/>
      <c r="P5" s="68"/>
      <c r="Q5" s="68"/>
      <c r="R5" s="68"/>
      <c r="S5" s="68"/>
      <c r="T5" s="68"/>
      <c r="U5" s="68"/>
      <c r="V5" s="68"/>
      <c r="W5" s="68"/>
      <c r="X5" s="68"/>
      <c r="Y5" s="68"/>
      <c r="Z5" s="68"/>
    </row>
    <row r="6" ht="15.6">
      <c r="A6" s="68"/>
      <c r="B6" s="163">
        <v>36831</v>
      </c>
      <c r="C6" s="164" t="s">
        <v>15</v>
      </c>
      <c r="D6" s="164" t="s">
        <v>160</v>
      </c>
      <c r="E6" s="164">
        <v>36000</v>
      </c>
      <c r="F6" s="68"/>
      <c r="G6" s="167" t="s">
        <v>45</v>
      </c>
      <c r="H6" s="168" t="str">
        <f>_xlfn.XLOOKUP(G6,$D$3:$D$19,$C$3:$C$19,,,)</f>
        <v>East</v>
      </c>
      <c r="I6" s="169">
        <f>_xlfn.XLOOKUP(G6,$D$3:$D$19,$E$3:$E$19,,,-1)</f>
        <v>28000</v>
      </c>
      <c r="J6" s="170"/>
      <c r="L6" s="68"/>
      <c r="M6" s="68"/>
      <c r="N6" s="68"/>
      <c r="O6" s="68"/>
      <c r="P6" s="68"/>
      <c r="Q6" s="68"/>
      <c r="R6" s="68"/>
      <c r="S6" s="68"/>
      <c r="T6" s="68"/>
      <c r="U6" s="68"/>
      <c r="V6" s="68"/>
      <c r="W6" s="68"/>
      <c r="X6" s="68"/>
      <c r="Y6" s="68"/>
      <c r="Z6" s="68"/>
    </row>
    <row r="7" ht="15.6">
      <c r="A7" s="68"/>
      <c r="B7" s="163">
        <v>36586</v>
      </c>
      <c r="C7" s="164" t="s">
        <v>21</v>
      </c>
      <c r="D7" s="164" t="s">
        <v>161</v>
      </c>
      <c r="E7" s="164">
        <v>16000</v>
      </c>
      <c r="F7" s="68"/>
      <c r="G7" s="167" t="s">
        <v>164</v>
      </c>
      <c r="H7" s="168" t="str">
        <f t="shared" ref="H7:H10" si="0">_xlfn.XLOOKUP(G7,$D$3:$D$19,$C$3:$C$19)</f>
        <v>South</v>
      </c>
      <c r="I7" s="169">
        <f t="shared" ref="I7:I11" si="1">_xlfn.XLOOKUP(G7,$D$3:$D$19,$E$3:$E$19,,,-1)</f>
        <v>38000</v>
      </c>
      <c r="J7" s="170"/>
      <c r="L7" s="68"/>
      <c r="M7" s="68"/>
      <c r="N7" s="68"/>
      <c r="O7" s="68"/>
      <c r="P7" s="68"/>
      <c r="Q7" s="68"/>
      <c r="R7" s="68"/>
      <c r="S7" s="68"/>
      <c r="T7" s="68"/>
      <c r="U7" s="68"/>
      <c r="V7" s="68"/>
      <c r="W7" s="68"/>
      <c r="X7" s="68"/>
      <c r="Y7" s="68"/>
      <c r="Z7" s="68"/>
    </row>
    <row r="8" ht="15.6">
      <c r="A8" s="68"/>
      <c r="B8" s="163" t="s">
        <v>237</v>
      </c>
      <c r="C8" s="164" t="s">
        <v>21</v>
      </c>
      <c r="D8" s="164" t="s">
        <v>161</v>
      </c>
      <c r="E8" s="164">
        <v>18000</v>
      </c>
      <c r="F8" s="68"/>
      <c r="G8" s="167" t="s">
        <v>164</v>
      </c>
      <c r="H8" s="168" t="str">
        <f t="shared" si="0"/>
        <v>South</v>
      </c>
      <c r="I8" s="169">
        <f t="shared" si="1"/>
        <v>38000</v>
      </c>
      <c r="J8" s="170"/>
      <c r="L8" s="68"/>
      <c r="M8" s="68"/>
      <c r="N8" s="68"/>
      <c r="O8" s="68"/>
      <c r="P8" s="68"/>
      <c r="Q8" s="68"/>
      <c r="R8" s="68"/>
      <c r="S8" s="68"/>
      <c r="T8" s="68"/>
      <c r="U8" s="68"/>
      <c r="V8" s="68"/>
      <c r="W8" s="68"/>
      <c r="X8" s="68"/>
      <c r="Y8" s="68"/>
      <c r="Z8" s="68"/>
    </row>
    <row r="9" ht="15.6">
      <c r="A9" s="68"/>
      <c r="B9" s="163" t="s">
        <v>238</v>
      </c>
      <c r="C9" s="164" t="s">
        <v>6</v>
      </c>
      <c r="D9" s="164" t="s">
        <v>164</v>
      </c>
      <c r="E9" s="164">
        <v>30000</v>
      </c>
      <c r="F9" s="68"/>
      <c r="G9" s="167" t="s">
        <v>165</v>
      </c>
      <c r="H9" s="168" t="str">
        <f t="shared" si="0"/>
        <v>South</v>
      </c>
      <c r="I9" s="169">
        <f t="shared" si="1"/>
        <v>20000</v>
      </c>
      <c r="J9" s="170"/>
      <c r="L9" s="68"/>
      <c r="M9" s="68"/>
      <c r="N9" s="68"/>
      <c r="O9" s="68"/>
      <c r="P9" s="68"/>
      <c r="Q9" s="68"/>
      <c r="R9" s="68"/>
      <c r="S9" s="68"/>
      <c r="T9" s="68"/>
      <c r="U9" s="68"/>
      <c r="V9" s="68"/>
      <c r="W9" s="68"/>
      <c r="X9" s="68"/>
      <c r="Y9" s="68"/>
      <c r="Z9" s="68"/>
    </row>
    <row r="10" ht="15.6">
      <c r="A10" s="68"/>
      <c r="B10" s="163">
        <v>36708</v>
      </c>
      <c r="C10" s="164" t="s">
        <v>15</v>
      </c>
      <c r="D10" s="164" t="s">
        <v>164</v>
      </c>
      <c r="E10" s="164">
        <v>38000</v>
      </c>
      <c r="F10" s="68"/>
      <c r="G10" s="167" t="s">
        <v>158</v>
      </c>
      <c r="H10" s="168" t="str">
        <f t="shared" si="0"/>
        <v>East</v>
      </c>
      <c r="I10" s="169">
        <f t="shared" si="1"/>
        <v>25000</v>
      </c>
      <c r="J10" s="170"/>
      <c r="L10" s="68"/>
      <c r="M10" s="68"/>
      <c r="N10" s="68"/>
      <c r="O10" s="68"/>
      <c r="P10" s="68"/>
      <c r="Q10" s="68"/>
      <c r="R10" s="68"/>
      <c r="S10" s="68"/>
      <c r="T10" s="68"/>
      <c r="U10" s="68"/>
      <c r="V10" s="68"/>
      <c r="W10" s="68"/>
      <c r="X10" s="68"/>
      <c r="Y10" s="68"/>
      <c r="Z10" s="68"/>
    </row>
    <row r="11" ht="15.6">
      <c r="A11" s="68"/>
      <c r="B11" s="163">
        <v>36678</v>
      </c>
      <c r="C11" s="164" t="s">
        <v>9</v>
      </c>
      <c r="D11" s="164" t="s">
        <v>154</v>
      </c>
      <c r="E11" s="164">
        <v>4000</v>
      </c>
      <c r="F11" s="68"/>
      <c r="G11" s="167" t="s">
        <v>158</v>
      </c>
      <c r="H11" s="168" t="str">
        <f>_xlfn.XLOOKUP(G11,$D$3:$D$19,$C$3:$C$19,,,-1)</f>
        <v>North</v>
      </c>
      <c r="I11" s="169">
        <f t="shared" si="1"/>
        <v>25000</v>
      </c>
      <c r="J11" s="171"/>
      <c r="L11" s="68"/>
      <c r="M11" s="68"/>
      <c r="N11" s="68"/>
      <c r="O11" s="68"/>
      <c r="P11" s="68"/>
      <c r="Q11" s="68"/>
      <c r="R11" s="68"/>
      <c r="S11" s="68"/>
      <c r="T11" s="68"/>
      <c r="U11" s="68"/>
      <c r="V11" s="68"/>
      <c r="W11" s="68"/>
      <c r="X11" s="68"/>
      <c r="Y11" s="68"/>
      <c r="Z11" s="68"/>
    </row>
    <row r="12" ht="15.6">
      <c r="A12" s="68"/>
      <c r="B12" s="163" t="s">
        <v>238</v>
      </c>
      <c r="C12" s="164" t="s">
        <v>6</v>
      </c>
      <c r="D12" s="164" t="s">
        <v>165</v>
      </c>
      <c r="E12" s="164">
        <v>20000</v>
      </c>
      <c r="F12" s="68"/>
      <c r="G12" s="68"/>
      <c r="H12" s="68"/>
      <c r="I12" s="68"/>
      <c r="J12" s="68"/>
      <c r="L12" s="68"/>
      <c r="M12" s="68"/>
      <c r="N12" s="68"/>
      <c r="O12" s="68"/>
      <c r="P12" s="68"/>
      <c r="Q12" s="68"/>
      <c r="R12" s="68"/>
      <c r="S12" s="68"/>
      <c r="T12" s="68"/>
      <c r="U12" s="68"/>
      <c r="V12" s="68"/>
      <c r="W12" s="68"/>
      <c r="X12" s="68"/>
      <c r="Y12" s="68"/>
      <c r="Z12" s="68"/>
    </row>
    <row r="13" ht="15.6">
      <c r="A13" s="68"/>
      <c r="B13" s="163" t="s">
        <v>239</v>
      </c>
      <c r="C13" s="164" t="s">
        <v>9</v>
      </c>
      <c r="D13" s="164" t="s">
        <v>157</v>
      </c>
      <c r="E13" s="164">
        <v>6000</v>
      </c>
      <c r="F13" s="68"/>
      <c r="G13" s="68"/>
      <c r="H13" s="68"/>
      <c r="I13" s="68"/>
      <c r="J13" s="68"/>
      <c r="K13" s="68"/>
      <c r="L13" s="68"/>
      <c r="M13" s="68"/>
      <c r="N13" s="68"/>
      <c r="O13" s="68"/>
      <c r="P13" s="68"/>
      <c r="Q13" s="68"/>
      <c r="R13" s="68"/>
      <c r="S13" s="68"/>
      <c r="T13" s="68"/>
      <c r="U13" s="68"/>
      <c r="V13" s="68"/>
      <c r="W13" s="68"/>
      <c r="X13" s="68"/>
      <c r="Y13" s="68"/>
      <c r="Z13" s="68"/>
    </row>
    <row r="14" ht="15.6">
      <c r="A14" s="68"/>
      <c r="B14" s="163">
        <v>36800</v>
      </c>
      <c r="C14" s="164" t="s">
        <v>9</v>
      </c>
      <c r="D14" s="164" t="s">
        <v>157</v>
      </c>
      <c r="E14" s="164">
        <v>8000</v>
      </c>
      <c r="F14" s="68"/>
      <c r="K14" s="68"/>
      <c r="L14" s="68"/>
      <c r="M14" s="68"/>
      <c r="N14" s="68"/>
      <c r="O14" s="68"/>
      <c r="P14" s="68"/>
      <c r="Q14" s="68"/>
      <c r="R14" s="68"/>
      <c r="S14" s="68"/>
      <c r="T14" s="68"/>
      <c r="U14" s="68"/>
      <c r="V14" s="68"/>
      <c r="W14" s="68"/>
      <c r="X14" s="68"/>
      <c r="Y14" s="68"/>
      <c r="Z14" s="68"/>
    </row>
    <row r="15" ht="15.6">
      <c r="A15" s="68"/>
      <c r="B15" s="163" t="s">
        <v>240</v>
      </c>
      <c r="C15" s="164" t="s">
        <v>21</v>
      </c>
      <c r="D15" s="164" t="s">
        <v>162</v>
      </c>
      <c r="E15" s="164">
        <v>20000</v>
      </c>
      <c r="F15" s="68"/>
      <c r="G15" s="68"/>
      <c r="H15" s="68"/>
      <c r="I15" s="68"/>
      <c r="J15" s="68"/>
      <c r="K15" s="68"/>
      <c r="L15" s="68"/>
      <c r="M15" s="68"/>
      <c r="N15" s="68"/>
      <c r="O15" s="68"/>
      <c r="P15" s="68"/>
      <c r="Q15" s="68"/>
      <c r="R15" s="68"/>
      <c r="S15" s="68"/>
      <c r="T15" s="68"/>
      <c r="U15" s="68"/>
      <c r="V15" s="68"/>
      <c r="W15" s="68"/>
      <c r="X15" s="68"/>
      <c r="Y15" s="68"/>
      <c r="Z15" s="68"/>
    </row>
    <row r="16" ht="15.6">
      <c r="A16" s="68"/>
      <c r="B16" s="163">
        <v>36617</v>
      </c>
      <c r="C16" s="164" t="s">
        <v>15</v>
      </c>
      <c r="D16" s="164" t="s">
        <v>162</v>
      </c>
      <c r="E16" s="164">
        <v>42000</v>
      </c>
      <c r="F16" s="68"/>
      <c r="G16" s="68"/>
      <c r="H16" s="68"/>
      <c r="I16" s="68"/>
      <c r="J16" s="68"/>
      <c r="K16" s="68"/>
      <c r="L16" s="68"/>
      <c r="M16" s="68"/>
      <c r="N16" s="68"/>
      <c r="O16" s="68"/>
      <c r="P16" s="68"/>
      <c r="Q16" s="68"/>
      <c r="R16" s="68"/>
      <c r="S16" s="68"/>
      <c r="T16" s="68"/>
      <c r="U16" s="68"/>
      <c r="V16" s="68"/>
      <c r="W16" s="68"/>
      <c r="X16" s="68"/>
      <c r="Y16" s="68"/>
      <c r="Z16" s="68"/>
    </row>
    <row r="17" ht="15.6">
      <c r="A17" s="68"/>
      <c r="B17" s="163">
        <v>36678</v>
      </c>
      <c r="C17" s="164" t="s">
        <v>9</v>
      </c>
      <c r="D17" s="164" t="s">
        <v>158</v>
      </c>
      <c r="E17" s="164">
        <v>10000</v>
      </c>
      <c r="F17" s="68"/>
      <c r="G17" s="68"/>
      <c r="H17" s="68"/>
      <c r="I17" s="68"/>
      <c r="J17" s="68"/>
      <c r="K17" s="68"/>
      <c r="L17" s="68"/>
      <c r="M17" s="68"/>
      <c r="N17" s="68"/>
      <c r="O17" s="68"/>
      <c r="P17" s="68"/>
      <c r="Q17" s="68"/>
      <c r="R17" s="68"/>
      <c r="S17" s="68"/>
      <c r="T17" s="68"/>
      <c r="U17" s="68"/>
      <c r="V17" s="68"/>
      <c r="W17" s="68"/>
      <c r="X17" s="68"/>
      <c r="Y17" s="68"/>
      <c r="Z17" s="68"/>
    </row>
    <row r="18" ht="15.6">
      <c r="A18" s="68"/>
      <c r="B18" s="163">
        <v>36800</v>
      </c>
      <c r="C18" s="164" t="s">
        <v>21</v>
      </c>
      <c r="D18" s="164" t="s">
        <v>158</v>
      </c>
      <c r="E18" s="164">
        <v>25000</v>
      </c>
      <c r="F18" s="68"/>
      <c r="G18" s="68"/>
      <c r="H18" s="68"/>
      <c r="I18" s="68"/>
      <c r="J18" s="68"/>
      <c r="K18" s="68"/>
      <c r="L18" s="68"/>
      <c r="M18" s="68"/>
      <c r="N18" s="68"/>
      <c r="O18" s="68"/>
      <c r="P18" s="68"/>
      <c r="Q18" s="68"/>
      <c r="R18" s="68"/>
      <c r="S18" s="68"/>
      <c r="T18" s="68"/>
      <c r="U18" s="68"/>
      <c r="V18" s="68"/>
      <c r="W18" s="68"/>
      <c r="X18" s="68"/>
      <c r="Y18" s="68"/>
      <c r="Z18" s="68"/>
    </row>
    <row r="19" ht="15.6">
      <c r="A19" s="68"/>
      <c r="B19" s="163">
        <v>36678</v>
      </c>
      <c r="C19" s="164" t="s">
        <v>15</v>
      </c>
      <c r="D19" s="164" t="s">
        <v>163</v>
      </c>
      <c r="E19" s="164">
        <v>60000</v>
      </c>
      <c r="F19" s="68"/>
      <c r="G19" s="68"/>
      <c r="H19" s="68"/>
      <c r="I19" s="68"/>
      <c r="J19" s="68"/>
      <c r="K19" s="68"/>
      <c r="L19" s="68"/>
      <c r="M19" s="68"/>
      <c r="N19" s="68"/>
      <c r="O19" s="68"/>
      <c r="P19" s="68"/>
      <c r="Q19" s="68"/>
      <c r="R19" s="68"/>
      <c r="S19" s="68"/>
      <c r="T19" s="68"/>
      <c r="U19" s="68"/>
      <c r="V19" s="68"/>
      <c r="W19" s="68"/>
      <c r="X19" s="68"/>
      <c r="Y19" s="68"/>
      <c r="Z19" s="68"/>
    </row>
    <row r="20" ht="15.6">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7.25" customHeight="1">
      <c r="A21" s="162" t="s">
        <v>2</v>
      </c>
      <c r="B21" s="164" t="s">
        <v>45</v>
      </c>
      <c r="C21" s="164" t="s">
        <v>45</v>
      </c>
      <c r="D21" s="164" t="s">
        <v>160</v>
      </c>
      <c r="E21" s="164" t="s">
        <v>160</v>
      </c>
      <c r="F21" s="164" t="s">
        <v>160</v>
      </c>
      <c r="G21" s="164" t="s">
        <v>161</v>
      </c>
      <c r="H21" s="164" t="s">
        <v>161</v>
      </c>
      <c r="I21" s="164" t="s">
        <v>164</v>
      </c>
      <c r="J21" s="164" t="s">
        <v>164</v>
      </c>
      <c r="K21" s="164" t="s">
        <v>154</v>
      </c>
      <c r="L21" s="164" t="s">
        <v>165</v>
      </c>
      <c r="M21" s="164" t="s">
        <v>157</v>
      </c>
      <c r="N21" s="164" t="s">
        <v>157</v>
      </c>
      <c r="O21" s="164" t="s">
        <v>157</v>
      </c>
      <c r="P21" s="164" t="s">
        <v>162</v>
      </c>
      <c r="Q21" s="164" t="s">
        <v>162</v>
      </c>
      <c r="R21" s="164" t="s">
        <v>158</v>
      </c>
      <c r="S21" s="164" t="s">
        <v>163</v>
      </c>
      <c r="T21" s="68"/>
      <c r="U21" s="68"/>
      <c r="V21" s="68"/>
      <c r="W21" s="68"/>
      <c r="X21" s="68"/>
      <c r="Y21" s="68"/>
      <c r="Z21" s="68"/>
    </row>
    <row r="22" ht="17.25" customHeight="1">
      <c r="A22" s="162" t="s">
        <v>50</v>
      </c>
      <c r="B22" s="163">
        <v>36739</v>
      </c>
      <c r="C22" s="164" t="s">
        <v>235</v>
      </c>
      <c r="D22" s="163">
        <v>36526</v>
      </c>
      <c r="E22" s="163">
        <v>36831</v>
      </c>
      <c r="F22" s="163">
        <v>36861</v>
      </c>
      <c r="G22" s="163">
        <v>36586</v>
      </c>
      <c r="H22" s="164" t="s">
        <v>237</v>
      </c>
      <c r="I22" s="164" t="s">
        <v>238</v>
      </c>
      <c r="J22" s="163">
        <v>36708</v>
      </c>
      <c r="K22" s="163">
        <v>36678</v>
      </c>
      <c r="L22" s="164" t="s">
        <v>238</v>
      </c>
      <c r="M22" s="164" t="s">
        <v>239</v>
      </c>
      <c r="N22" s="163">
        <v>36800</v>
      </c>
      <c r="O22" s="164" t="s">
        <v>241</v>
      </c>
      <c r="P22" s="164" t="s">
        <v>240</v>
      </c>
      <c r="Q22" s="163">
        <v>36617</v>
      </c>
      <c r="R22" s="163">
        <v>36678</v>
      </c>
      <c r="S22" s="163">
        <v>36800</v>
      </c>
      <c r="T22" s="68"/>
      <c r="U22" s="68"/>
      <c r="V22" s="68"/>
      <c r="W22" s="68"/>
      <c r="X22" s="68"/>
      <c r="Y22" s="68"/>
      <c r="Z22" s="68"/>
    </row>
    <row r="23" ht="17.25" customHeight="1">
      <c r="A23" s="162" t="s">
        <v>151</v>
      </c>
      <c r="B23" s="164" t="s">
        <v>9</v>
      </c>
      <c r="C23" s="164" t="s">
        <v>6</v>
      </c>
      <c r="D23" s="164" t="s">
        <v>21</v>
      </c>
      <c r="E23" s="164" t="s">
        <v>15</v>
      </c>
      <c r="F23" s="164" t="s">
        <v>15</v>
      </c>
      <c r="G23" s="164" t="s">
        <v>21</v>
      </c>
      <c r="H23" s="164" t="s">
        <v>21</v>
      </c>
      <c r="I23" s="164" t="s">
        <v>6</v>
      </c>
      <c r="J23" s="164" t="s">
        <v>15</v>
      </c>
      <c r="K23" s="164" t="s">
        <v>9</v>
      </c>
      <c r="L23" s="164" t="s">
        <v>6</v>
      </c>
      <c r="M23" s="164" t="s">
        <v>9</v>
      </c>
      <c r="N23" s="164" t="s">
        <v>9</v>
      </c>
      <c r="O23" s="164" t="s">
        <v>15</v>
      </c>
      <c r="P23" s="164" t="s">
        <v>21</v>
      </c>
      <c r="Q23" s="164" t="s">
        <v>15</v>
      </c>
      <c r="R23" s="164" t="s">
        <v>9</v>
      </c>
      <c r="S23" s="164" t="s">
        <v>21</v>
      </c>
      <c r="T23" s="68"/>
      <c r="U23" s="68"/>
      <c r="V23" s="68"/>
      <c r="W23" s="68"/>
      <c r="X23" s="68"/>
      <c r="Y23" s="68"/>
      <c r="Z23" s="68"/>
    </row>
    <row r="24" ht="17.25" customHeight="1">
      <c r="A24" s="162" t="s">
        <v>152</v>
      </c>
      <c r="B24" s="172">
        <v>2000</v>
      </c>
      <c r="C24" s="172">
        <v>28000</v>
      </c>
      <c r="D24" s="172">
        <v>14000</v>
      </c>
      <c r="E24" s="172">
        <v>36000</v>
      </c>
      <c r="F24" s="172">
        <v>50000</v>
      </c>
      <c r="G24" s="172">
        <v>16000</v>
      </c>
      <c r="H24" s="172">
        <v>18000</v>
      </c>
      <c r="I24" s="172">
        <v>30000</v>
      </c>
      <c r="J24" s="172">
        <v>38000</v>
      </c>
      <c r="K24" s="172">
        <v>4000</v>
      </c>
      <c r="L24" s="172">
        <v>20000</v>
      </c>
      <c r="M24" s="172">
        <v>6000</v>
      </c>
      <c r="N24" s="172">
        <v>8000</v>
      </c>
      <c r="O24" s="172">
        <v>40000</v>
      </c>
      <c r="P24" s="172">
        <v>20000</v>
      </c>
      <c r="Q24" s="172">
        <v>42000</v>
      </c>
      <c r="R24" s="172">
        <v>10000</v>
      </c>
      <c r="S24" s="172">
        <v>25000</v>
      </c>
      <c r="T24" s="68"/>
      <c r="U24" s="68"/>
      <c r="V24" s="68"/>
      <c r="W24" s="68"/>
      <c r="X24" s="68"/>
      <c r="Y24" s="68"/>
      <c r="Z24" s="68"/>
    </row>
    <row r="25" ht="15.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5.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5.75" customHeight="1">
      <c r="A27" s="68"/>
      <c r="B27" s="173" t="s">
        <v>233</v>
      </c>
      <c r="C27" s="173"/>
      <c r="D27" s="173" t="s">
        <v>152</v>
      </c>
      <c r="E27" s="166" t="s">
        <v>242</v>
      </c>
      <c r="F27" s="68"/>
      <c r="G27" s="68"/>
      <c r="H27" s="68"/>
      <c r="I27" s="68"/>
      <c r="J27" s="68"/>
      <c r="K27" s="68"/>
      <c r="L27" s="68"/>
      <c r="M27" s="68"/>
      <c r="N27" s="68"/>
      <c r="O27" s="68"/>
      <c r="P27" s="68"/>
      <c r="Q27" s="68"/>
      <c r="R27" s="68"/>
      <c r="S27" s="68"/>
      <c r="T27" s="68"/>
      <c r="U27" s="68"/>
      <c r="V27" s="68"/>
      <c r="W27" s="68"/>
      <c r="X27" s="68"/>
      <c r="Y27" s="68"/>
      <c r="Z27" s="68"/>
    </row>
    <row r="28" ht="15.75" customHeight="1">
      <c r="A28" s="68"/>
      <c r="B28" s="168" t="s">
        <v>45</v>
      </c>
      <c r="C28" s="168" t="str">
        <f>_xlfn.XLOOKUP(B28,$B$21:$S$21,$B$23:$S$23,,,)</f>
        <v>East</v>
      </c>
      <c r="D28" s="169">
        <f>_xlfn.XLOOKUP(B28,$B$21:$S$21,$B$24:$S$24)</f>
        <v>2000</v>
      </c>
      <c r="E28" s="170"/>
      <c r="F28" s="68"/>
      <c r="G28" s="68"/>
      <c r="H28" s="68"/>
      <c r="I28" s="68"/>
      <c r="J28" s="68"/>
      <c r="K28" s="68"/>
      <c r="L28" s="68"/>
      <c r="M28" s="68"/>
      <c r="N28" s="68"/>
      <c r="O28" s="68"/>
      <c r="P28" s="68"/>
      <c r="Q28" s="68"/>
      <c r="R28" s="68"/>
      <c r="S28" s="68"/>
      <c r="T28" s="68"/>
      <c r="U28" s="68"/>
      <c r="V28" s="68"/>
      <c r="W28" s="68"/>
      <c r="X28" s="68"/>
      <c r="Y28" s="68"/>
      <c r="Z28" s="68"/>
    </row>
    <row r="29" ht="15.75" customHeight="1">
      <c r="A29" s="68"/>
      <c r="B29" s="168" t="s">
        <v>45</v>
      </c>
      <c r="C29" s="168" t="str">
        <f>_xlfn.XLOOKUP(B29,$B$21:$S$21,$B$23:$S$23,,,-1)</f>
        <v>South</v>
      </c>
      <c r="D29" s="169">
        <f>_xlfn.XLOOKUP(B29,$B$21:$S$21,$B$24:$S$24,,,-1)</f>
        <v>28000</v>
      </c>
      <c r="E29" s="170"/>
      <c r="F29" s="68"/>
      <c r="G29" s="68"/>
      <c r="H29" s="68"/>
      <c r="I29" s="68"/>
      <c r="J29" s="68"/>
      <c r="K29" s="68"/>
      <c r="L29" s="68"/>
      <c r="M29" s="68"/>
      <c r="N29" s="68"/>
      <c r="O29" s="68"/>
      <c r="P29" s="68"/>
      <c r="Q29" s="68"/>
      <c r="R29" s="68"/>
      <c r="S29" s="68"/>
      <c r="T29" s="68"/>
      <c r="U29" s="68"/>
      <c r="V29" s="68"/>
      <c r="W29" s="68"/>
      <c r="X29" s="68"/>
      <c r="Y29" s="68"/>
      <c r="Z29" s="68"/>
    </row>
    <row r="30" ht="15.75" customHeight="1">
      <c r="A30" s="68"/>
      <c r="B30" s="168" t="s">
        <v>164</v>
      </c>
      <c r="C30" s="168" t="str">
        <f t="shared" ref="C30:C36" si="2">_xlfn.XLOOKUP(B30,$B$21:$S$21,$B$23:$S$23,,,)</f>
        <v>South</v>
      </c>
      <c r="D30" s="169">
        <f t="shared" ref="D30:D36" si="3">_xlfn.XLOOKUP(B30,$B$21:$S$21,$B$24:$S$24)</f>
        <v>30000</v>
      </c>
      <c r="E30" s="170"/>
      <c r="F30" s="68"/>
      <c r="G30" s="68"/>
      <c r="H30" s="68"/>
      <c r="I30" s="68"/>
      <c r="J30" s="68"/>
      <c r="K30" s="68"/>
      <c r="L30" s="68"/>
      <c r="M30" s="68"/>
      <c r="N30" s="68"/>
      <c r="O30" s="68"/>
      <c r="P30" s="68"/>
      <c r="Q30" s="68"/>
      <c r="R30" s="68"/>
      <c r="S30" s="68"/>
      <c r="T30" s="68"/>
      <c r="U30" s="68"/>
      <c r="V30" s="68"/>
      <c r="W30" s="68"/>
      <c r="X30" s="68"/>
      <c r="Y30" s="68"/>
      <c r="Z30" s="68"/>
    </row>
    <row r="31" ht="15.75" customHeight="1">
      <c r="A31" s="68"/>
      <c r="B31" s="168" t="s">
        <v>164</v>
      </c>
      <c r="C31" s="168" t="str">
        <f>_xlfn.XLOOKUP(B31,$B$21:$S$21,$B$23:$S$23,,,-1)</f>
        <v>West</v>
      </c>
      <c r="D31" s="169">
        <f t="shared" si="3"/>
        <v>30000</v>
      </c>
      <c r="E31" s="170"/>
      <c r="F31" s="68"/>
      <c r="G31" s="68"/>
      <c r="H31" s="68"/>
      <c r="I31" s="68"/>
      <c r="J31" s="68"/>
      <c r="K31" s="68"/>
      <c r="L31" s="68"/>
      <c r="M31" s="68"/>
      <c r="N31" s="68"/>
      <c r="O31" s="68"/>
      <c r="P31" s="68"/>
      <c r="Q31" s="68"/>
      <c r="R31" s="68"/>
      <c r="S31" s="68"/>
      <c r="T31" s="68"/>
      <c r="U31" s="68"/>
      <c r="V31" s="68"/>
      <c r="W31" s="68"/>
      <c r="X31" s="68"/>
      <c r="Y31" s="68"/>
      <c r="Z31" s="68"/>
    </row>
    <row r="32" ht="15.75" customHeight="1">
      <c r="A32" s="68"/>
      <c r="B32" s="168" t="s">
        <v>165</v>
      </c>
      <c r="C32" s="168" t="str">
        <f t="shared" si="2"/>
        <v>South</v>
      </c>
      <c r="D32" s="169">
        <f t="shared" si="3"/>
        <v>20000</v>
      </c>
      <c r="E32" s="170"/>
      <c r="F32" s="68"/>
      <c r="G32" s="68"/>
      <c r="H32" s="68"/>
      <c r="I32" s="68"/>
      <c r="J32" s="68"/>
      <c r="K32" s="68"/>
      <c r="L32" s="68"/>
      <c r="M32" s="68"/>
      <c r="N32" s="68"/>
      <c r="O32" s="68"/>
      <c r="P32" s="68"/>
      <c r="Q32" s="68"/>
      <c r="R32" s="68"/>
      <c r="S32" s="68"/>
      <c r="T32" s="68"/>
      <c r="U32" s="68"/>
      <c r="V32" s="68"/>
      <c r="W32" s="68"/>
      <c r="X32" s="68"/>
      <c r="Y32" s="68"/>
      <c r="Z32" s="68"/>
    </row>
    <row r="33" ht="15" customHeight="1">
      <c r="A33" s="68"/>
      <c r="B33" s="168" t="s">
        <v>158</v>
      </c>
      <c r="C33" s="168" t="str">
        <f t="shared" si="2"/>
        <v>East</v>
      </c>
      <c r="D33" s="169">
        <f t="shared" si="3"/>
        <v>10000</v>
      </c>
      <c r="E33" s="170"/>
      <c r="F33" s="68"/>
      <c r="G33" s="68"/>
      <c r="H33" s="68"/>
      <c r="I33" s="68"/>
      <c r="J33" s="68"/>
      <c r="K33" s="68"/>
      <c r="L33" s="68"/>
      <c r="M33" s="68"/>
      <c r="N33" s="68"/>
      <c r="O33" s="68"/>
      <c r="P33" s="68"/>
      <c r="Q33" s="68"/>
      <c r="R33" s="68"/>
      <c r="S33" s="68"/>
      <c r="T33" s="68"/>
      <c r="U33" s="68"/>
      <c r="V33" s="68"/>
      <c r="W33" s="68"/>
      <c r="X33" s="68"/>
      <c r="Y33" s="68"/>
      <c r="Z33" s="68"/>
    </row>
    <row r="34" ht="15" customHeight="1">
      <c r="A34" s="68"/>
      <c r="B34" s="174" t="s">
        <v>243</v>
      </c>
      <c r="C34" s="175" t="e">
        <f t="shared" si="2"/>
        <v>#N/A</v>
      </c>
      <c r="D34" s="176" t="e">
        <f t="shared" si="3"/>
        <v>#N/A</v>
      </c>
      <c r="E34" s="170"/>
      <c r="F34" s="68"/>
      <c r="G34" s="68"/>
      <c r="H34" s="68"/>
      <c r="I34" s="68"/>
      <c r="J34" s="68"/>
      <c r="K34" s="68"/>
      <c r="L34" s="68"/>
      <c r="M34" s="68"/>
      <c r="N34" s="68"/>
      <c r="O34" s="68"/>
      <c r="P34" s="68"/>
      <c r="Q34" s="68"/>
      <c r="R34" s="68"/>
      <c r="S34" s="68"/>
      <c r="T34" s="68"/>
      <c r="U34" s="68"/>
      <c r="V34" s="68"/>
      <c r="W34" s="68"/>
      <c r="X34" s="68"/>
      <c r="Y34" s="68"/>
      <c r="Z34" s="68"/>
    </row>
    <row r="35" ht="15" customHeight="1">
      <c r="A35" s="68"/>
      <c r="B35" s="174" t="s">
        <v>244</v>
      </c>
      <c r="C35" s="175" t="e">
        <f t="shared" si="2"/>
        <v>#N/A</v>
      </c>
      <c r="D35" s="176" t="e">
        <f t="shared" si="3"/>
        <v>#N/A</v>
      </c>
      <c r="E35" s="170"/>
      <c r="F35" s="68"/>
      <c r="G35" s="68"/>
      <c r="H35" s="68"/>
      <c r="I35" s="68"/>
      <c r="J35" s="68"/>
      <c r="K35" s="68"/>
      <c r="L35" s="68"/>
      <c r="M35" s="68"/>
      <c r="N35" s="68"/>
      <c r="O35" s="68"/>
      <c r="P35" s="68"/>
      <c r="Q35" s="68"/>
      <c r="R35" s="68"/>
      <c r="S35" s="68"/>
      <c r="T35" s="68"/>
      <c r="U35" s="68"/>
      <c r="V35" s="68"/>
      <c r="W35" s="68"/>
      <c r="X35" s="68"/>
      <c r="Y35" s="68"/>
      <c r="Z35" s="68"/>
    </row>
    <row r="36" ht="15" customHeight="1">
      <c r="A36" s="68"/>
      <c r="B36" s="168" t="s">
        <v>162</v>
      </c>
      <c r="C36" s="168" t="str">
        <f t="shared" si="2"/>
        <v>North</v>
      </c>
      <c r="D36" s="169">
        <f t="shared" si="3"/>
        <v>20000</v>
      </c>
      <c r="E36" s="171"/>
      <c r="F36" s="68"/>
      <c r="G36" s="68"/>
      <c r="H36" s="68"/>
      <c r="I36" s="68"/>
      <c r="J36" s="68"/>
      <c r="K36" s="68"/>
      <c r="L36" s="68"/>
      <c r="M36" s="68"/>
      <c r="N36" s="68"/>
      <c r="O36" s="68"/>
      <c r="P36" s="68"/>
      <c r="Q36" s="68"/>
      <c r="R36" s="68"/>
      <c r="S36" s="68"/>
      <c r="T36" s="68"/>
      <c r="U36" s="68"/>
      <c r="V36" s="68"/>
      <c r="W36" s="68"/>
      <c r="X36" s="68"/>
      <c r="Y36" s="68"/>
      <c r="Z36" s="68"/>
    </row>
    <row r="37" ht="1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5.75" customHeight="1">
      <c r="A42" s="68"/>
      <c r="B42" s="177" t="s">
        <v>2</v>
      </c>
      <c r="C42" s="177" t="s">
        <v>50</v>
      </c>
      <c r="D42" s="177" t="s">
        <v>151</v>
      </c>
      <c r="E42" s="177" t="s">
        <v>152</v>
      </c>
      <c r="F42" s="68"/>
      <c r="G42" s="68"/>
      <c r="H42" s="68"/>
      <c r="I42" s="68"/>
      <c r="J42" s="68"/>
      <c r="K42" s="68"/>
      <c r="L42" s="68"/>
      <c r="M42" s="68"/>
      <c r="N42" s="68"/>
      <c r="O42" s="68"/>
      <c r="P42" s="68"/>
      <c r="Q42" s="68"/>
      <c r="R42" s="68"/>
      <c r="S42" s="68"/>
      <c r="T42" s="68"/>
      <c r="U42" s="68"/>
      <c r="V42" s="68"/>
      <c r="W42" s="68"/>
      <c r="X42" s="68"/>
      <c r="Y42" s="68"/>
      <c r="Z42" s="68"/>
    </row>
    <row r="43" ht="15.75" customHeight="1">
      <c r="A43" s="68"/>
      <c r="B43" s="164" t="s">
        <v>45</v>
      </c>
      <c r="C43" s="163">
        <v>36739</v>
      </c>
      <c r="D43" s="164" t="s">
        <v>9</v>
      </c>
      <c r="E43" s="172">
        <v>2000</v>
      </c>
      <c r="F43" s="68"/>
      <c r="G43" s="68"/>
      <c r="H43" s="68"/>
      <c r="I43" s="68"/>
      <c r="J43" s="68"/>
      <c r="K43" s="68"/>
      <c r="L43" s="68"/>
      <c r="M43" s="68"/>
      <c r="N43" s="68"/>
      <c r="O43" s="68"/>
      <c r="P43" s="68"/>
      <c r="Q43" s="68"/>
      <c r="R43" s="68"/>
      <c r="S43" s="68"/>
      <c r="T43" s="68"/>
      <c r="U43" s="68"/>
      <c r="V43" s="68"/>
      <c r="W43" s="68"/>
      <c r="X43" s="68"/>
      <c r="Y43" s="68"/>
      <c r="Z43" s="68"/>
    </row>
    <row r="44" ht="15.75" customHeight="1">
      <c r="A44" s="68"/>
      <c r="B44" s="164" t="s">
        <v>45</v>
      </c>
      <c r="C44" s="164" t="s">
        <v>235</v>
      </c>
      <c r="D44" s="164" t="s">
        <v>6</v>
      </c>
      <c r="E44" s="172">
        <v>28000</v>
      </c>
      <c r="F44" s="68"/>
      <c r="G44" s="68"/>
      <c r="H44" s="68"/>
      <c r="I44" s="68"/>
      <c r="J44" s="68"/>
      <c r="K44" s="68"/>
      <c r="L44" s="68"/>
      <c r="M44" s="68"/>
      <c r="N44" s="68"/>
      <c r="O44" s="68"/>
      <c r="P44" s="68"/>
      <c r="Q44" s="68"/>
      <c r="R44" s="68"/>
      <c r="S44" s="68"/>
      <c r="T44" s="68"/>
      <c r="U44" s="68"/>
      <c r="V44" s="68"/>
      <c r="W44" s="68"/>
      <c r="X44" s="68"/>
      <c r="Y44" s="68"/>
      <c r="Z44" s="68"/>
    </row>
    <row r="45" ht="15.75" customHeight="1">
      <c r="A45" s="68"/>
      <c r="B45" s="164" t="s">
        <v>160</v>
      </c>
      <c r="C45" s="163">
        <v>36526</v>
      </c>
      <c r="D45" s="164" t="s">
        <v>21</v>
      </c>
      <c r="E45" s="172">
        <v>14000</v>
      </c>
      <c r="F45" s="68"/>
      <c r="G45" s="68"/>
      <c r="H45" s="68"/>
      <c r="I45" s="68"/>
      <c r="J45" s="68"/>
      <c r="K45" s="68"/>
      <c r="L45" s="68"/>
      <c r="M45" s="68"/>
      <c r="N45" s="68"/>
      <c r="O45" s="68"/>
      <c r="P45" s="68"/>
      <c r="Q45" s="68"/>
      <c r="R45" s="68"/>
      <c r="S45" s="68"/>
      <c r="T45" s="68"/>
      <c r="U45" s="68"/>
      <c r="V45" s="68"/>
      <c r="W45" s="68"/>
      <c r="X45" s="68"/>
      <c r="Y45" s="68"/>
      <c r="Z45" s="68"/>
    </row>
    <row r="46" ht="15.75" customHeight="1">
      <c r="A46" s="68"/>
      <c r="B46" s="164" t="s">
        <v>160</v>
      </c>
      <c r="C46" s="163">
        <v>36831</v>
      </c>
      <c r="D46" s="164" t="s">
        <v>15</v>
      </c>
      <c r="E46" s="172">
        <v>36000</v>
      </c>
      <c r="F46" s="68"/>
      <c r="G46" s="167" t="s">
        <v>2</v>
      </c>
      <c r="H46" s="167" t="s">
        <v>50</v>
      </c>
      <c r="I46" s="167" t="s">
        <v>151</v>
      </c>
      <c r="J46" s="167" t="s">
        <v>152</v>
      </c>
      <c r="K46" s="70"/>
      <c r="L46" s="68"/>
      <c r="M46" s="68"/>
      <c r="N46" s="68"/>
      <c r="O46" s="68"/>
      <c r="P46" s="68"/>
      <c r="Q46" s="68"/>
      <c r="R46" s="68"/>
      <c r="S46" s="68"/>
      <c r="T46" s="68"/>
      <c r="U46" s="68"/>
      <c r="V46" s="68"/>
      <c r="W46" s="68"/>
      <c r="X46" s="68"/>
      <c r="Y46" s="68"/>
      <c r="Z46" s="68"/>
    </row>
    <row r="47" ht="15.75" customHeight="1">
      <c r="A47" s="68"/>
      <c r="B47" s="164" t="s">
        <v>245</v>
      </c>
      <c r="C47" s="163">
        <v>36586</v>
      </c>
      <c r="D47" s="164" t="s">
        <v>21</v>
      </c>
      <c r="E47" s="172">
        <v>16000</v>
      </c>
      <c r="F47" s="68"/>
      <c r="G47" s="168" t="s">
        <v>154</v>
      </c>
      <c r="H47" s="178">
        <v>36678</v>
      </c>
      <c r="I47" s="168" t="s">
        <v>9</v>
      </c>
      <c r="J47" s="168">
        <v>4000</v>
      </c>
      <c r="K47" s="70"/>
      <c r="L47" s="68"/>
      <c r="M47" s="68"/>
      <c r="N47" s="68"/>
      <c r="O47" s="68"/>
      <c r="P47" s="68"/>
      <c r="Q47" s="68"/>
      <c r="R47" s="68"/>
      <c r="S47" s="68"/>
      <c r="T47" s="68"/>
      <c r="U47" s="68"/>
      <c r="V47" s="68"/>
      <c r="W47" s="68"/>
      <c r="X47" s="68"/>
      <c r="Y47" s="68"/>
      <c r="Z47" s="68"/>
    </row>
    <row r="48" ht="15.75" customHeight="1">
      <c r="A48" s="68"/>
      <c r="B48" s="164" t="s">
        <v>246</v>
      </c>
      <c r="C48" s="164" t="s">
        <v>237</v>
      </c>
      <c r="D48" s="164" t="s">
        <v>9</v>
      </c>
      <c r="E48" s="172">
        <v>18000</v>
      </c>
      <c r="F48" s="68"/>
      <c r="G48" s="168" t="s">
        <v>162</v>
      </c>
      <c r="H48" s="168" t="s">
        <v>240</v>
      </c>
      <c r="I48" s="168" t="s">
        <v>21</v>
      </c>
      <c r="J48" s="168">
        <v>20000</v>
      </c>
      <c r="K48" s="70"/>
      <c r="L48" s="68"/>
      <c r="M48" s="68"/>
      <c r="N48" s="68"/>
      <c r="O48" s="68"/>
      <c r="P48" s="68"/>
      <c r="Q48" s="68"/>
      <c r="R48" s="68"/>
      <c r="S48" s="68"/>
      <c r="T48" s="68"/>
      <c r="U48" s="68"/>
      <c r="V48" s="68"/>
      <c r="W48" s="68"/>
      <c r="X48" s="68"/>
      <c r="Y48" s="68"/>
      <c r="Z48" s="68"/>
    </row>
    <row r="49" ht="15.75" customHeight="1">
      <c r="A49" s="68"/>
      <c r="B49" s="164" t="s">
        <v>164</v>
      </c>
      <c r="C49" s="164" t="s">
        <v>238</v>
      </c>
      <c r="D49" s="164" t="s">
        <v>6</v>
      </c>
      <c r="E49" s="172">
        <v>30000</v>
      </c>
      <c r="F49" s="68"/>
      <c r="G49" s="168" t="s">
        <v>161</v>
      </c>
      <c r="H49" s="178">
        <v>36586</v>
      </c>
      <c r="I49" s="168" t="s">
        <v>21</v>
      </c>
      <c r="J49" s="168">
        <v>16000</v>
      </c>
      <c r="K49" s="179" t="s">
        <v>247</v>
      </c>
      <c r="L49" s="68"/>
      <c r="M49" s="68"/>
      <c r="N49" s="68"/>
      <c r="O49" s="68"/>
      <c r="P49" s="68"/>
      <c r="Q49" s="68"/>
      <c r="R49" s="68"/>
      <c r="S49" s="68"/>
      <c r="T49" s="68"/>
      <c r="U49" s="68"/>
      <c r="V49" s="68"/>
      <c r="W49" s="68"/>
      <c r="X49" s="68"/>
      <c r="Y49" s="68"/>
      <c r="Z49" s="68"/>
    </row>
    <row r="50" ht="15.75" customHeight="1">
      <c r="A50" s="68"/>
      <c r="B50" s="164" t="s">
        <v>164</v>
      </c>
      <c r="C50" s="163">
        <v>36708</v>
      </c>
      <c r="D50" s="164" t="s">
        <v>15</v>
      </c>
      <c r="E50" s="172">
        <v>38000</v>
      </c>
      <c r="F50" s="68"/>
      <c r="G50" s="168" t="s">
        <v>161</v>
      </c>
      <c r="H50" s="168" t="s">
        <v>237</v>
      </c>
      <c r="I50" s="168" t="s">
        <v>9</v>
      </c>
      <c r="J50" s="168">
        <v>18000</v>
      </c>
      <c r="K50" s="179"/>
      <c r="L50" s="68"/>
      <c r="M50" s="68"/>
      <c r="N50" s="68"/>
      <c r="O50" s="68"/>
      <c r="P50" s="68"/>
      <c r="Q50" s="68"/>
      <c r="R50" s="68"/>
      <c r="S50" s="68"/>
      <c r="T50" s="68"/>
      <c r="U50" s="68"/>
      <c r="V50" s="68"/>
      <c r="W50" s="68"/>
      <c r="X50" s="68"/>
      <c r="Y50" s="68"/>
      <c r="Z50" s="68"/>
    </row>
    <row r="51" ht="15.75" customHeight="1">
      <c r="A51" s="68"/>
      <c r="B51" s="164" t="s">
        <v>154</v>
      </c>
      <c r="C51" s="163">
        <v>36678</v>
      </c>
      <c r="D51" s="164" t="s">
        <v>9</v>
      </c>
      <c r="E51" s="172">
        <v>4000</v>
      </c>
      <c r="F51" s="68"/>
      <c r="G51" s="168" t="s">
        <v>248</v>
      </c>
      <c r="H51" s="168" t="s">
        <v>240</v>
      </c>
      <c r="I51" s="168" t="s">
        <v>21</v>
      </c>
      <c r="J51" s="168">
        <v>20000</v>
      </c>
      <c r="K51" s="179"/>
      <c r="L51" s="68"/>
      <c r="M51" s="68"/>
      <c r="N51" s="68"/>
      <c r="O51" s="68"/>
      <c r="P51" s="68"/>
      <c r="Q51" s="68"/>
      <c r="R51" s="68"/>
      <c r="S51" s="68"/>
      <c r="T51" s="68"/>
      <c r="U51" s="68"/>
      <c r="V51" s="68"/>
      <c r="W51" s="68"/>
      <c r="X51" s="68"/>
      <c r="Y51" s="68"/>
      <c r="Z51" s="68"/>
    </row>
    <row r="52" ht="15.75" customHeight="1">
      <c r="A52" s="68"/>
      <c r="B52" s="164" t="s">
        <v>165</v>
      </c>
      <c r="C52" s="164" t="s">
        <v>238</v>
      </c>
      <c r="D52" s="164" t="s">
        <v>6</v>
      </c>
      <c r="E52" s="172">
        <v>20000</v>
      </c>
      <c r="F52" s="68"/>
      <c r="G52" s="168" t="s">
        <v>248</v>
      </c>
      <c r="H52" s="178">
        <v>36617</v>
      </c>
      <c r="I52" s="168" t="s">
        <v>15</v>
      </c>
      <c r="J52" s="168">
        <v>42000</v>
      </c>
      <c r="K52" s="179"/>
      <c r="L52" s="68"/>
      <c r="M52" s="68"/>
      <c r="N52" s="68"/>
      <c r="O52" s="68"/>
      <c r="P52" s="68"/>
      <c r="Q52" s="68"/>
      <c r="R52" s="68"/>
      <c r="S52" s="68"/>
      <c r="T52" s="68"/>
      <c r="U52" s="68"/>
      <c r="V52" s="68"/>
      <c r="W52" s="68"/>
      <c r="X52" s="68"/>
      <c r="Y52" s="68"/>
      <c r="Z52" s="68"/>
    </row>
    <row r="53" ht="15.75" customHeight="1">
      <c r="A53" s="68"/>
      <c r="B53" s="164" t="s">
        <v>157</v>
      </c>
      <c r="C53" s="164" t="s">
        <v>239</v>
      </c>
      <c r="D53" s="164" t="s">
        <v>9</v>
      </c>
      <c r="E53" s="172">
        <v>6000</v>
      </c>
      <c r="F53" s="68"/>
      <c r="G53" s="68"/>
      <c r="H53" s="68"/>
      <c r="I53" s="68"/>
      <c r="J53" s="68"/>
      <c r="K53" s="68"/>
      <c r="L53" s="68"/>
      <c r="M53" s="68"/>
      <c r="N53" s="68"/>
      <c r="O53" s="68"/>
      <c r="P53" s="68"/>
      <c r="Q53" s="68"/>
      <c r="R53" s="68"/>
      <c r="S53" s="68"/>
      <c r="T53" s="68"/>
      <c r="U53" s="68"/>
      <c r="V53" s="68"/>
      <c r="W53" s="68"/>
      <c r="X53" s="68"/>
      <c r="Y53" s="68"/>
      <c r="Z53" s="68"/>
    </row>
    <row r="54" ht="15.75" customHeight="1">
      <c r="A54" s="68"/>
      <c r="B54" s="164" t="s">
        <v>157</v>
      </c>
      <c r="C54" s="163">
        <v>36800</v>
      </c>
      <c r="D54" s="164" t="s">
        <v>9</v>
      </c>
      <c r="E54" s="172">
        <v>8000</v>
      </c>
      <c r="F54" s="68"/>
      <c r="G54" s="68"/>
      <c r="H54" s="68"/>
      <c r="I54" s="68"/>
      <c r="J54" s="68"/>
      <c r="K54" s="68"/>
      <c r="L54" s="68"/>
      <c r="M54" s="68"/>
      <c r="N54" s="68"/>
      <c r="O54" s="68"/>
      <c r="P54" s="68"/>
      <c r="Q54" s="68"/>
      <c r="R54" s="68"/>
      <c r="S54" s="68"/>
      <c r="T54" s="68"/>
      <c r="U54" s="68"/>
      <c r="V54" s="68"/>
      <c r="W54" s="68"/>
      <c r="X54" s="68"/>
      <c r="Y54" s="68"/>
      <c r="Z54" s="68"/>
    </row>
    <row r="55" ht="15.75" customHeight="1">
      <c r="A55" s="68"/>
      <c r="B55" s="164" t="s">
        <v>162</v>
      </c>
      <c r="C55" s="164" t="s">
        <v>240</v>
      </c>
      <c r="D55" s="164" t="s">
        <v>21</v>
      </c>
      <c r="E55" s="172">
        <v>20000</v>
      </c>
      <c r="F55" s="68"/>
      <c r="G55" s="68"/>
      <c r="H55" s="68"/>
      <c r="I55" s="68"/>
      <c r="J55" s="68"/>
      <c r="K55" s="68"/>
      <c r="L55" s="68"/>
      <c r="M55" s="68"/>
      <c r="N55" s="68"/>
      <c r="O55" s="68"/>
      <c r="P55" s="68"/>
      <c r="Q55" s="68"/>
      <c r="R55" s="68"/>
      <c r="S55" s="68"/>
      <c r="T55" s="68"/>
      <c r="U55" s="68"/>
      <c r="V55" s="68"/>
      <c r="W55" s="68"/>
      <c r="X55" s="68"/>
      <c r="Y55" s="68"/>
      <c r="Z55" s="68"/>
    </row>
    <row r="56" ht="15.75" customHeight="1">
      <c r="A56" s="68"/>
      <c r="B56" s="164" t="s">
        <v>249</v>
      </c>
      <c r="C56" s="163">
        <v>36617</v>
      </c>
      <c r="D56" s="164" t="s">
        <v>15</v>
      </c>
      <c r="E56" s="172">
        <v>42000</v>
      </c>
      <c r="F56" s="68"/>
      <c r="G56" s="68"/>
      <c r="H56" s="68"/>
      <c r="I56" s="68"/>
      <c r="J56" s="68"/>
      <c r="K56" s="68"/>
      <c r="L56" s="68"/>
      <c r="M56" s="68"/>
      <c r="N56" s="68"/>
      <c r="O56" s="68"/>
      <c r="P56" s="68"/>
      <c r="Q56" s="68"/>
      <c r="R56" s="68"/>
      <c r="S56" s="68"/>
      <c r="T56" s="68"/>
      <c r="U56" s="68"/>
      <c r="V56" s="68"/>
      <c r="W56" s="68"/>
      <c r="X56" s="68"/>
      <c r="Y56" s="68"/>
      <c r="Z56" s="68"/>
    </row>
    <row r="57" ht="15.75" customHeight="1">
      <c r="A57" s="68"/>
      <c r="B57" s="164" t="s">
        <v>158</v>
      </c>
      <c r="C57" s="163">
        <v>36678</v>
      </c>
      <c r="D57" s="164" t="s">
        <v>9</v>
      </c>
      <c r="E57" s="172">
        <v>10000</v>
      </c>
      <c r="F57" s="68"/>
      <c r="G57" s="68"/>
      <c r="H57" s="68"/>
      <c r="I57" s="68"/>
      <c r="J57" s="68"/>
      <c r="K57" s="68"/>
      <c r="L57" s="68"/>
      <c r="M57" s="68"/>
      <c r="N57" s="68"/>
      <c r="O57" s="68"/>
      <c r="P57" s="68"/>
      <c r="Q57" s="68"/>
      <c r="R57" s="68"/>
      <c r="S57" s="68"/>
      <c r="T57" s="68"/>
      <c r="U57" s="68"/>
      <c r="V57" s="68"/>
      <c r="W57" s="68"/>
      <c r="X57" s="68"/>
      <c r="Y57" s="68"/>
      <c r="Z57" s="68"/>
    </row>
    <row r="58" ht="15.75" customHeight="1">
      <c r="A58" s="68"/>
      <c r="B58" s="164" t="s">
        <v>163</v>
      </c>
      <c r="C58" s="163">
        <v>36800</v>
      </c>
      <c r="D58" s="164" t="s">
        <v>21</v>
      </c>
      <c r="E58" s="172">
        <v>25000</v>
      </c>
      <c r="F58" s="68"/>
      <c r="G58" s="68"/>
      <c r="H58" s="68"/>
      <c r="I58" s="68"/>
      <c r="J58" s="68"/>
      <c r="K58" s="68"/>
      <c r="L58" s="68"/>
      <c r="M58" s="68"/>
      <c r="N58" s="68"/>
      <c r="O58" s="68"/>
      <c r="P58" s="68"/>
      <c r="Q58" s="68"/>
      <c r="R58" s="68"/>
      <c r="S58" s="68"/>
      <c r="T58" s="68"/>
      <c r="U58" s="68"/>
      <c r="V58" s="68"/>
      <c r="W58" s="68"/>
      <c r="X58" s="68"/>
      <c r="Y58" s="68"/>
      <c r="Z58" s="68"/>
    </row>
    <row r="59" ht="15.75" customHeight="1">
      <c r="A59" s="68"/>
      <c r="B59" s="81"/>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5.75" customHeight="1">
      <c r="A60" s="68"/>
      <c r="B60" s="81"/>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5.75" customHeight="1">
      <c r="A61" s="68"/>
      <c r="F61" s="68"/>
      <c r="G61" s="68"/>
      <c r="H61" s="68"/>
      <c r="I61" s="68"/>
      <c r="J61" s="68"/>
      <c r="K61" s="68"/>
      <c r="L61" s="68"/>
      <c r="M61" s="68"/>
      <c r="N61" s="68"/>
      <c r="O61" s="68"/>
      <c r="P61" s="68"/>
      <c r="Q61" s="68"/>
      <c r="R61" s="68"/>
      <c r="S61" s="68"/>
      <c r="T61" s="68"/>
      <c r="U61" s="68"/>
      <c r="V61" s="68"/>
      <c r="W61" s="68"/>
      <c r="X61" s="68"/>
      <c r="Y61" s="68"/>
      <c r="Z61" s="68"/>
    </row>
    <row r="62" ht="15.75" customHeight="1">
      <c r="A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5.75" customHeight="1">
      <c r="A63" s="68"/>
      <c r="B63" s="68"/>
      <c r="C63" s="177" t="s">
        <v>250</v>
      </c>
      <c r="D63" s="177"/>
      <c r="E63" s="177"/>
      <c r="F63" s="68"/>
      <c r="G63" s="167" t="s">
        <v>251</v>
      </c>
      <c r="H63" s="167" t="s">
        <v>252</v>
      </c>
      <c r="I63" s="167" t="s">
        <v>4</v>
      </c>
      <c r="J63" s="168" t="s">
        <v>253</v>
      </c>
      <c r="K63" s="68"/>
      <c r="L63" s="68"/>
      <c r="M63" s="68"/>
      <c r="N63" s="68"/>
      <c r="O63" s="68"/>
      <c r="P63" s="68"/>
      <c r="Q63" s="68"/>
      <c r="R63" s="68"/>
      <c r="S63" s="68"/>
      <c r="T63" s="68"/>
      <c r="U63" s="68"/>
      <c r="V63" s="68"/>
      <c r="W63" s="68"/>
      <c r="X63" s="68"/>
      <c r="Y63" s="68"/>
      <c r="Z63" s="68"/>
    </row>
    <row r="64" ht="15.75" customHeight="1">
      <c r="A64" s="68"/>
      <c r="B64" s="177" t="s">
        <v>2</v>
      </c>
      <c r="C64" s="180">
        <v>2018</v>
      </c>
      <c r="D64" s="180">
        <v>2019</v>
      </c>
      <c r="E64" s="180">
        <v>2020</v>
      </c>
      <c r="F64" s="68"/>
      <c r="G64" s="168" t="s">
        <v>160</v>
      </c>
      <c r="H64" s="168">
        <v>2018</v>
      </c>
      <c r="I64" s="181">
        <v>40000</v>
      </c>
      <c r="J64" s="168"/>
      <c r="K64" s="68"/>
      <c r="L64" s="68"/>
      <c r="M64" s="68"/>
      <c r="N64" s="68"/>
      <c r="O64" s="68"/>
      <c r="P64" s="68"/>
      <c r="Q64" s="68"/>
      <c r="R64" s="68"/>
      <c r="S64" s="68"/>
      <c r="T64" s="68"/>
      <c r="U64" s="68"/>
      <c r="V64" s="68"/>
      <c r="W64" s="68"/>
      <c r="X64" s="68"/>
      <c r="Y64" s="68"/>
      <c r="Z64" s="68"/>
    </row>
    <row r="65" ht="15.75" customHeight="1">
      <c r="A65" s="68"/>
      <c r="B65" s="164" t="s">
        <v>45</v>
      </c>
      <c r="C65" s="172">
        <v>36000</v>
      </c>
      <c r="D65" s="172">
        <v>20000</v>
      </c>
      <c r="E65" s="172">
        <v>28000</v>
      </c>
      <c r="F65" s="68"/>
      <c r="G65" s="168" t="s">
        <v>157</v>
      </c>
      <c r="H65" s="168">
        <v>2020</v>
      </c>
      <c r="I65" s="181">
        <v>8000</v>
      </c>
      <c r="J65" s="168"/>
      <c r="K65" s="68"/>
      <c r="L65" s="68"/>
      <c r="M65" s="68"/>
      <c r="N65" s="68"/>
      <c r="O65" s="68"/>
      <c r="P65" s="68"/>
      <c r="Q65" s="68"/>
      <c r="R65" s="68"/>
      <c r="S65" s="68"/>
      <c r="T65" s="68"/>
      <c r="U65" s="68"/>
      <c r="V65" s="68"/>
      <c r="W65" s="68"/>
      <c r="X65" s="68"/>
      <c r="Y65" s="68"/>
      <c r="Z65" s="68"/>
    </row>
    <row r="66" ht="15.75" customHeight="1">
      <c r="A66" s="68"/>
      <c r="B66" s="164" t="s">
        <v>45</v>
      </c>
      <c r="C66" s="172">
        <v>38000</v>
      </c>
      <c r="D66" s="172">
        <v>30000</v>
      </c>
      <c r="E66" s="172">
        <v>14000</v>
      </c>
      <c r="F66" s="68"/>
      <c r="G66" s="168" t="s">
        <v>157</v>
      </c>
      <c r="H66" s="168">
        <v>2020</v>
      </c>
      <c r="I66" s="181">
        <v>20000</v>
      </c>
      <c r="J66" s="168"/>
      <c r="K66" s="68"/>
      <c r="L66" s="68"/>
      <c r="M66" s="68"/>
      <c r="N66" s="68"/>
      <c r="O66" s="68"/>
      <c r="P66" s="68"/>
      <c r="Q66" s="68"/>
      <c r="R66" s="68"/>
      <c r="S66" s="68"/>
      <c r="T66" s="68"/>
      <c r="U66" s="68"/>
      <c r="V66" s="68"/>
      <c r="W66" s="68"/>
      <c r="X66" s="68"/>
      <c r="Y66" s="68"/>
      <c r="Z66" s="68"/>
    </row>
    <row r="67" ht="15.75" customHeight="1">
      <c r="A67" s="68"/>
      <c r="B67" s="164" t="s">
        <v>160</v>
      </c>
      <c r="C67" s="172">
        <v>40000</v>
      </c>
      <c r="D67" s="172">
        <v>10000</v>
      </c>
      <c r="E67" s="172">
        <v>36000</v>
      </c>
      <c r="F67" s="68"/>
      <c r="G67" s="168" t="s">
        <v>158</v>
      </c>
      <c r="H67" s="168">
        <v>2019</v>
      </c>
      <c r="I67" s="181">
        <v>78000</v>
      </c>
      <c r="J67" s="168"/>
      <c r="K67" s="68"/>
      <c r="L67" s="68"/>
      <c r="M67" s="68"/>
      <c r="N67" s="68"/>
      <c r="O67" s="68"/>
      <c r="P67" s="68"/>
      <c r="Q67" s="68"/>
      <c r="R67" s="68"/>
      <c r="S67" s="68"/>
      <c r="T67" s="68"/>
      <c r="U67" s="68"/>
      <c r="V67" s="68"/>
      <c r="W67" s="68"/>
      <c r="X67" s="68"/>
      <c r="Y67" s="68"/>
      <c r="Z67" s="68"/>
    </row>
    <row r="68" ht="15.75" customHeight="1">
      <c r="A68" s="68"/>
      <c r="B68" s="164" t="s">
        <v>160</v>
      </c>
      <c r="C68" s="172">
        <v>50000</v>
      </c>
      <c r="D68" s="172">
        <v>50000</v>
      </c>
      <c r="E68" s="172">
        <v>16000</v>
      </c>
      <c r="F68" s="68"/>
      <c r="G68" s="81"/>
      <c r="H68" s="68"/>
      <c r="I68" s="68"/>
      <c r="J68" s="68"/>
      <c r="K68" s="68"/>
      <c r="L68" s="68"/>
      <c r="M68" s="68"/>
      <c r="N68" s="68"/>
      <c r="O68" s="68"/>
      <c r="P68" s="68"/>
      <c r="Q68" s="68"/>
      <c r="R68" s="68"/>
      <c r="S68" s="68"/>
      <c r="T68" s="68"/>
      <c r="U68" s="68"/>
      <c r="V68" s="68"/>
      <c r="W68" s="68"/>
      <c r="X68" s="68"/>
      <c r="Y68" s="68"/>
      <c r="Z68" s="68"/>
    </row>
    <row r="69" ht="15.75" customHeight="1">
      <c r="A69" s="68"/>
      <c r="B69" s="164" t="s">
        <v>254</v>
      </c>
      <c r="C69" s="172">
        <v>20000</v>
      </c>
      <c r="D69" s="172">
        <v>60000</v>
      </c>
      <c r="E69" s="172">
        <v>18000</v>
      </c>
      <c r="F69" s="68"/>
      <c r="G69" s="68"/>
      <c r="H69" s="68"/>
      <c r="I69" s="68"/>
      <c r="J69" s="68"/>
      <c r="K69" s="68"/>
      <c r="L69" s="68"/>
      <c r="M69" s="68"/>
      <c r="N69" s="68"/>
      <c r="O69" s="68"/>
      <c r="P69" s="68"/>
      <c r="Q69" s="68"/>
      <c r="R69" s="68"/>
      <c r="S69" s="68"/>
      <c r="T69" s="68"/>
      <c r="U69" s="68"/>
      <c r="V69" s="68"/>
      <c r="W69" s="68"/>
      <c r="X69" s="68"/>
      <c r="Y69" s="68"/>
      <c r="Z69" s="68"/>
    </row>
    <row r="70" ht="15.75" customHeight="1">
      <c r="A70" s="68"/>
      <c r="B70" s="164" t="s">
        <v>255</v>
      </c>
      <c r="C70" s="172">
        <v>32000</v>
      </c>
      <c r="D70" s="172">
        <v>70000</v>
      </c>
      <c r="E70" s="172">
        <v>30000</v>
      </c>
      <c r="F70" s="68"/>
      <c r="G70" s="68"/>
      <c r="H70" s="68"/>
      <c r="I70" s="68"/>
      <c r="J70" s="68"/>
      <c r="K70" s="68"/>
      <c r="L70" s="68"/>
      <c r="M70" s="68"/>
      <c r="N70" s="68"/>
      <c r="O70" s="68"/>
      <c r="P70" s="68"/>
      <c r="Q70" s="68"/>
      <c r="R70" s="68"/>
      <c r="S70" s="68"/>
      <c r="T70" s="68"/>
      <c r="U70" s="68"/>
      <c r="V70" s="68"/>
      <c r="W70" s="68"/>
      <c r="X70" s="68"/>
      <c r="Y70" s="68"/>
      <c r="Z70" s="68"/>
    </row>
    <row r="71" ht="15.75" customHeight="1">
      <c r="A71" s="68"/>
      <c r="B71" s="164" t="s">
        <v>164</v>
      </c>
      <c r="C71" s="172">
        <v>89000</v>
      </c>
      <c r="D71" s="172">
        <v>80000</v>
      </c>
      <c r="E71" s="172">
        <v>38000</v>
      </c>
      <c r="F71" s="68"/>
      <c r="G71" s="68"/>
      <c r="H71" s="68"/>
      <c r="I71" s="68"/>
      <c r="J71" s="68"/>
      <c r="K71" s="68"/>
      <c r="L71" s="68"/>
      <c r="M71" s="68"/>
      <c r="N71" s="68"/>
      <c r="O71" s="68"/>
      <c r="P71" s="68"/>
      <c r="Q71" s="68"/>
      <c r="R71" s="68"/>
      <c r="S71" s="68"/>
      <c r="T71" s="68"/>
      <c r="U71" s="68"/>
      <c r="V71" s="68"/>
      <c r="W71" s="68"/>
      <c r="X71" s="68"/>
      <c r="Y71" s="68"/>
      <c r="Z71" s="68"/>
    </row>
    <row r="72" ht="15.75" customHeight="1">
      <c r="A72" s="68"/>
      <c r="B72" s="164" t="s">
        <v>164</v>
      </c>
      <c r="C72" s="172">
        <v>50000</v>
      </c>
      <c r="D72" s="172">
        <v>90000</v>
      </c>
      <c r="E72" s="172">
        <v>4000</v>
      </c>
      <c r="F72" s="68"/>
      <c r="G72" s="68"/>
      <c r="H72" s="68"/>
      <c r="I72" s="68"/>
      <c r="J72" s="68"/>
      <c r="K72" s="68"/>
      <c r="L72" s="68"/>
      <c r="M72" s="68"/>
      <c r="N72" s="68"/>
      <c r="O72" s="68"/>
      <c r="P72" s="68"/>
      <c r="Q72" s="68"/>
      <c r="R72" s="68"/>
      <c r="S72" s="68"/>
      <c r="T72" s="68"/>
      <c r="U72" s="68"/>
      <c r="V72" s="68"/>
      <c r="W72" s="68"/>
      <c r="X72" s="68"/>
      <c r="Y72" s="68"/>
      <c r="Z72" s="68"/>
    </row>
    <row r="73" ht="15.75" customHeight="1">
      <c r="A73" s="68"/>
      <c r="B73" s="164" t="s">
        <v>154</v>
      </c>
      <c r="C73" s="172">
        <v>2000</v>
      </c>
      <c r="D73" s="172">
        <v>10000</v>
      </c>
      <c r="E73" s="172">
        <v>20000</v>
      </c>
      <c r="F73" s="68"/>
      <c r="G73" s="68"/>
      <c r="H73" s="68"/>
      <c r="I73" s="68"/>
      <c r="J73" s="68"/>
      <c r="K73" s="68"/>
      <c r="L73" s="68"/>
      <c r="M73" s="68"/>
      <c r="N73" s="68"/>
      <c r="O73" s="68"/>
      <c r="P73" s="68"/>
      <c r="Q73" s="68"/>
      <c r="R73" s="68"/>
      <c r="S73" s="68"/>
      <c r="T73" s="68"/>
      <c r="U73" s="68"/>
      <c r="V73" s="68"/>
      <c r="W73" s="68"/>
      <c r="X73" s="68"/>
      <c r="Y73" s="68"/>
      <c r="Z73" s="68"/>
    </row>
    <row r="74" ht="15.75" customHeight="1">
      <c r="A74" s="68"/>
      <c r="B74" s="164" t="s">
        <v>165</v>
      </c>
      <c r="C74" s="172">
        <v>35000</v>
      </c>
      <c r="D74" s="172">
        <v>2000</v>
      </c>
      <c r="E74" s="172">
        <v>6000</v>
      </c>
      <c r="F74" s="68"/>
      <c r="G74" s="68"/>
      <c r="H74" s="68"/>
      <c r="I74" s="68"/>
      <c r="J74" s="68"/>
      <c r="K74" s="68"/>
      <c r="L74" s="68"/>
      <c r="M74" s="68"/>
      <c r="N74" s="68"/>
      <c r="O74" s="68"/>
      <c r="P74" s="68"/>
      <c r="Q74" s="68"/>
      <c r="R74" s="68"/>
      <c r="S74" s="68"/>
      <c r="T74" s="68"/>
      <c r="U74" s="68"/>
      <c r="V74" s="68"/>
      <c r="W74" s="68"/>
      <c r="X74" s="68"/>
      <c r="Y74" s="68"/>
      <c r="Z74" s="68"/>
    </row>
    <row r="75" ht="15.75" customHeight="1">
      <c r="A75" s="68"/>
      <c r="B75" s="164" t="s">
        <v>157</v>
      </c>
      <c r="C75" s="172">
        <v>23000</v>
      </c>
      <c r="D75" s="172">
        <v>57000</v>
      </c>
      <c r="E75" s="172">
        <v>8000</v>
      </c>
      <c r="F75" s="68"/>
      <c r="G75" s="68"/>
      <c r="H75" s="68"/>
      <c r="I75" s="68"/>
      <c r="J75" s="68"/>
      <c r="K75" s="68"/>
      <c r="L75" s="68"/>
      <c r="M75" s="68"/>
      <c r="N75" s="68"/>
      <c r="O75" s="68"/>
      <c r="P75" s="68"/>
      <c r="Q75" s="68"/>
      <c r="R75" s="68"/>
      <c r="S75" s="68"/>
      <c r="T75" s="68"/>
      <c r="U75" s="68"/>
      <c r="V75" s="68"/>
      <c r="W75" s="68"/>
      <c r="X75" s="68"/>
      <c r="Y75" s="68"/>
      <c r="Z75" s="68"/>
    </row>
    <row r="76" ht="15.75" customHeight="1">
      <c r="A76" s="68"/>
      <c r="B76" s="164" t="s">
        <v>157</v>
      </c>
      <c r="C76" s="172">
        <v>56000</v>
      </c>
      <c r="D76" s="172">
        <v>40000</v>
      </c>
      <c r="E76" s="172">
        <v>20000</v>
      </c>
      <c r="F76" s="68"/>
      <c r="G76" s="68"/>
      <c r="H76" s="68"/>
      <c r="I76" s="68"/>
      <c r="J76" s="68"/>
      <c r="K76" s="68"/>
      <c r="L76" s="68"/>
      <c r="M76" s="68"/>
      <c r="N76" s="68"/>
      <c r="O76" s="68"/>
      <c r="P76" s="68"/>
      <c r="Q76" s="68"/>
      <c r="R76" s="68"/>
      <c r="S76" s="68"/>
      <c r="T76" s="68"/>
      <c r="U76" s="68"/>
      <c r="V76" s="68"/>
      <c r="W76" s="68"/>
      <c r="X76" s="68"/>
      <c r="Y76" s="68"/>
      <c r="Z76" s="68"/>
    </row>
    <row r="77" ht="15.75" customHeight="1">
      <c r="A77" s="68"/>
      <c r="B77" s="164" t="s">
        <v>162</v>
      </c>
      <c r="C77" s="172">
        <v>4000</v>
      </c>
      <c r="D77" s="172">
        <v>32000</v>
      </c>
      <c r="E77" s="172">
        <v>42000</v>
      </c>
      <c r="F77" s="68"/>
      <c r="G77" s="68"/>
      <c r="H77" s="68"/>
      <c r="I77" s="68"/>
      <c r="J77" s="68"/>
      <c r="K77" s="68"/>
      <c r="L77" s="68"/>
      <c r="M77" s="68"/>
      <c r="N77" s="68"/>
      <c r="O77" s="68"/>
      <c r="P77" s="68"/>
      <c r="Q77" s="68"/>
      <c r="R77" s="68"/>
      <c r="S77" s="68"/>
      <c r="T77" s="68"/>
      <c r="U77" s="68"/>
      <c r="V77" s="68"/>
      <c r="W77" s="68"/>
      <c r="X77" s="68"/>
      <c r="Y77" s="68"/>
      <c r="Z77" s="68"/>
    </row>
    <row r="78" ht="15.75" customHeight="1">
      <c r="A78" s="68"/>
      <c r="B78" s="164" t="s">
        <v>158</v>
      </c>
      <c r="C78" s="172">
        <v>36535</v>
      </c>
      <c r="D78" s="172">
        <v>78000</v>
      </c>
      <c r="E78" s="172">
        <v>25000</v>
      </c>
      <c r="F78" s="68"/>
      <c r="G78" s="68"/>
      <c r="H78" s="68"/>
      <c r="I78" s="68"/>
      <c r="J78" s="68"/>
      <c r="K78" s="68"/>
      <c r="L78" s="68"/>
      <c r="M78" s="68"/>
      <c r="N78" s="68"/>
      <c r="O78" s="68"/>
      <c r="P78" s="68"/>
      <c r="Q78" s="68"/>
      <c r="R78" s="68"/>
      <c r="S78" s="68"/>
      <c r="T78" s="68"/>
      <c r="U78" s="68"/>
      <c r="V78" s="68"/>
      <c r="W78" s="68"/>
      <c r="X78" s="68"/>
      <c r="Y78" s="68"/>
      <c r="Z78" s="68"/>
    </row>
    <row r="79" ht="15" customHeight="1">
      <c r="A79" s="68"/>
      <c r="B79" s="81"/>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5" customHeight="1">
      <c r="A80" s="68"/>
      <c r="B80" s="81"/>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5" customHeight="1">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ht="15" customHeight="1">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ht="15" customHeight="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ht="15" customHeight="1">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ht="15" customHeight="1">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ht="15" customHeight="1">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ht="15" customHeight="1">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ht="15" customHeight="1">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ht="15" customHeight="1">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ht="15" customHeight="1">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ht="15" customHeight="1">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ht="15" customHeight="1">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ht="15" customHeight="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ht="15" customHeight="1">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ht="15" customHeight="1">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ht="15" customHeight="1">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ht="15" customHeight="1">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ht="15" customHeight="1">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ht="15" customHeight="1">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ht="15" customHeight="1">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ht="15" customHeight="1">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ht="15"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ht="15" customHeight="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ht="15" customHeight="1">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ht="15" customHeight="1">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ht="15" customHeight="1">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ht="15" customHeight="1">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ht="15" customHeight="1">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ht="15" customHeight="1">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ht="15" customHeight="1">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ht="15" customHeight="1">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ht="15" customHeight="1">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ht="15" customHeight="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ht="15" customHeight="1">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ht="15" customHeight="1">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ht="15" customHeight="1">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ht="15" customHeight="1">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ht="15" customHeight="1">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ht="15" customHeight="1">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ht="15" customHeight="1">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ht="15" customHeight="1">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ht="15" customHeight="1">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ht="15" customHeight="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ht="15" customHeight="1">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ht="15" customHeight="1">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ht="15" customHeight="1">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ht="15" customHeight="1">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ht="15" customHeight="1">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ht="15" customHeight="1">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ht="15" customHeight="1">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ht="15" customHeight="1">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ht="15" customHeight="1">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ht="15" customHeight="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ht="15" customHeight="1">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ht="15" customHeight="1">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ht="15" customHeight="1">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ht="15" customHeight="1">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ht="15" customHeight="1">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ht="15" customHeight="1">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ht="15" customHeight="1">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ht="15" customHeight="1">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ht="15" customHeight="1">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ht="15" customHeight="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ht="15" customHeight="1">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ht="15" customHeight="1">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ht="15" customHeight="1">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ht="15" customHeight="1">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ht="15" customHeight="1">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ht="15" customHeight="1">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ht="15" customHeight="1">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ht="15" customHeight="1">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ht="15" customHeight="1">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ht="15" customHeight="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ht="15" customHeight="1">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ht="15" customHeight="1">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ht="15" customHeight="1">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ht="15" customHeight="1">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ht="15" customHeight="1">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ht="15" customHeight="1">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ht="15" customHeight="1">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ht="15" customHeight="1">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ht="15" customHeight="1">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ht="15" customHeight="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ht="15" customHeight="1">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ht="15" customHeight="1">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ht="15" customHeight="1">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ht="15" customHeight="1">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ht="15" customHeight="1">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ht="15" customHeight="1">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ht="15" customHeight="1">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ht="15" customHeight="1">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ht="15" customHeight="1">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ht="15" customHeight="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ht="15" customHeight="1">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ht="15" customHeight="1">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ht="15" customHeight="1">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ht="15" customHeight="1">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ht="15" customHeight="1">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ht="15" customHeight="1">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ht="15" customHeight="1">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ht="15" customHeight="1">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ht="15" customHeight="1">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ht="15" customHeight="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ht="15" customHeight="1">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ht="15" customHeight="1">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ht="15" customHeight="1">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ht="15" customHeight="1">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ht="15" customHeight="1">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ht="15" customHeight="1">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ht="15" customHeight="1">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ht="15" customHeight="1">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ht="15" customHeight="1">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ht="15" customHeight="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ht="15" customHeight="1">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ht="15" customHeight="1">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ht="15" customHeight="1">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ht="15" customHeight="1">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ht="15" customHeight="1">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ht="15" customHeight="1">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ht="15" customHeight="1">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ht="15" customHeight="1">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ht="15" customHeight="1">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ht="15" customHeight="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ht="15" customHeight="1">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ht="15" customHeight="1">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ht="15" customHeight="1">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ht="15" customHeight="1">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ht="15" customHeight="1">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ht="15" customHeight="1">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ht="15" customHeight="1">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ht="15" customHeight="1">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ht="15" customHeight="1">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ht="15" customHeight="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ht="15" customHeight="1">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ht="15" customHeight="1">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ht="15" customHeight="1">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ht="15" customHeight="1">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ht="15" customHeight="1">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ht="15" customHeight="1">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ht="15" customHeight="1">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ht="15" customHeight="1">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ht="15" customHeight="1">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ht="15" customHeight="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ht="15" customHeight="1">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ht="15" customHeight="1">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ht="15" customHeight="1">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ht="15" customHeight="1">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ht="15" customHeight="1">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ht="15" customHeight="1">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ht="15" customHeight="1">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ht="15" customHeight="1">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ht="15" customHeight="1">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ht="15" customHeight="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ht="15" customHeight="1">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ht="15" customHeight="1">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ht="15" customHeight="1">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ht="15" customHeight="1">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ht="15" customHeight="1">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ht="15" customHeight="1">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ht="15" customHeight="1">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ht="15" customHeight="1">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ht="15" customHeight="1">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ht="15" customHeight="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ht="15" customHeight="1">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ht="15" customHeight="1">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ht="15" customHeight="1">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ht="15" customHeight="1">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ht="15" customHeight="1">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ht="15" customHeight="1">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ht="15" customHeight="1">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ht="15" customHeight="1">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ht="15" customHeight="1">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ht="15" customHeight="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ht="15" customHeight="1">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ht="15" customHeight="1">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ht="15" customHeight="1">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ht="15" customHeight="1">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ht="15" customHeight="1">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ht="15" customHeight="1">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ht="15" customHeight="1">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ht="15" customHeight="1">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ht="15" customHeight="1">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ht="15" customHeight="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ht="15" customHeight="1">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ht="15" customHeight="1">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ht="15" customHeight="1">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ht="15" customHeight="1">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ht="15" customHeight="1">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ht="15" customHeight="1">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ht="15" customHeight="1">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ht="15" customHeight="1">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ht="15" customHeight="1">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ht="15" customHeight="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ht="15" customHeight="1">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ht="15" customHeight="1">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ht="15" customHeight="1">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ht="15" customHeight="1">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ht="15" customHeight="1">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ht="15" customHeight="1">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ht="15" customHeight="1">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ht="15" customHeight="1">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ht="15" customHeight="1">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ht="15"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ht="15"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ht="15"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ht="15"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ht="15" customHeight="1">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ht="15" customHeight="1">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ht="15" customHeight="1">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ht="15" customHeight="1">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ht="15" customHeight="1">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ht="15" customHeight="1">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ht="15" customHeight="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ht="15" customHeight="1">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ht="15" customHeight="1">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ht="15" customHeight="1">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ht="15" customHeight="1">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ht="15" customHeight="1">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ht="15" customHeight="1">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ht="15" customHeight="1">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ht="15" customHeight="1">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ht="15" customHeight="1">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ht="15" customHeight="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ht="15" customHeight="1">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ht="15" customHeight="1">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ht="15" customHeight="1">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ht="15" customHeight="1">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ht="15" customHeight="1">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ht="15"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ht="15" customHeight="1">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ht="15" customHeight="1">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ht="15" customHeight="1">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ht="15" customHeight="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ht="15" customHeight="1">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ht="15" customHeight="1">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ht="15" customHeight="1">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ht="15" customHeight="1">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ht="15" customHeight="1">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ht="15" customHeight="1">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ht="15" customHeight="1">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ht="15" customHeight="1">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ht="15" customHeight="1">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ht="15" customHeight="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ht="15" customHeight="1">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ht="15" customHeight="1">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ht="15" customHeight="1">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ht="15" customHeight="1">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ht="15" customHeight="1">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ht="15" customHeight="1">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ht="15" customHeight="1">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ht="15" customHeight="1">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ht="15" customHeight="1">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ht="15" customHeight="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ht="15" customHeight="1">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ht="15" customHeight="1">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ht="15" customHeight="1">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ht="15" customHeight="1">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ht="15" customHeight="1">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ht="15" customHeight="1">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ht="15" customHeight="1">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ht="15" customHeight="1">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ht="15" customHeight="1">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ht="15" customHeight="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ht="15" customHeight="1">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ht="15" customHeight="1">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ht="15" customHeight="1">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ht="15" customHeight="1">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ht="15" customHeight="1">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ht="15" customHeight="1">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ht="15" customHeight="1">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ht="15" customHeight="1">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ht="15" customHeight="1">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ht="15" customHeight="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ht="15" customHeight="1">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ht="15" customHeight="1">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ht="15" customHeight="1">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ht="15" customHeight="1">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ht="15" customHeight="1">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ht="15" customHeight="1">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ht="15" customHeight="1">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ht="15" customHeight="1">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ht="15" customHeight="1">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ht="15" customHeight="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ht="15" customHeight="1">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ht="15" customHeight="1">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ht="15" customHeight="1">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ht="15" customHeight="1">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ht="15" customHeight="1">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ht="15" customHeight="1">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ht="15" customHeight="1">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ht="15" customHeight="1">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ht="15" customHeight="1">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ht="15" customHeight="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ht="15" customHeight="1">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ht="15" customHeight="1">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ht="15" customHeight="1">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ht="15" customHeight="1">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ht="15" customHeight="1">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ht="15" customHeight="1">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ht="15" customHeight="1">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ht="15" customHeight="1">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ht="15" customHeight="1">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ht="15" customHeight="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ht="15" customHeight="1">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ht="15" customHeight="1">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ht="15" customHeight="1">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ht="15" customHeight="1">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ht="15" customHeight="1">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ht="15" customHeight="1">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ht="15" customHeight="1">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ht="15" customHeight="1">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ht="15" customHeight="1">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ht="15" customHeight="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ht="15" customHeight="1">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ht="15" customHeight="1">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ht="15" customHeight="1">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ht="15" customHeight="1">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ht="15" customHeight="1">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ht="15" customHeight="1">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ht="15" customHeight="1">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ht="15" customHeight="1">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ht="15" customHeight="1">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ht="15" customHeight="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ht="15" customHeight="1">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ht="15" customHeight="1">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ht="15" customHeight="1">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ht="15" customHeight="1">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ht="15" customHeight="1">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ht="15" customHeight="1">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ht="15" customHeight="1">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ht="15" customHeight="1">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ht="15" customHeight="1">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ht="15" customHeight="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ht="15" customHeight="1">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ht="15" customHeight="1">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ht="15" customHeight="1">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ht="15" customHeight="1">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ht="15" customHeight="1">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ht="15" customHeight="1">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ht="15" customHeight="1">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ht="15" customHeight="1">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ht="15" customHeight="1">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ht="15" customHeight="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ht="15" customHeight="1">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ht="15" customHeight="1">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ht="15" customHeight="1">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ht="15" customHeight="1">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ht="15" customHeight="1">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ht="15" customHeight="1">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ht="15" customHeight="1">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ht="15" customHeight="1">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ht="15" customHeight="1">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ht="15" customHeight="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ht="15" customHeight="1">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ht="15" customHeight="1">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ht="15" customHeight="1">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ht="15" customHeight="1">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ht="15" customHeight="1">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ht="15" customHeight="1">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ht="15" customHeight="1">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ht="15" customHeight="1">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ht="15" customHeight="1">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ht="15" customHeight="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ht="15" customHeight="1">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ht="15" customHeight="1">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ht="15" customHeight="1">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ht="15" customHeight="1">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ht="15" customHeight="1">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ht="15" customHeight="1">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ht="15" customHeight="1">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ht="15" customHeight="1">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ht="15" customHeight="1">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ht="15" customHeight="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ht="15" customHeight="1">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ht="15" customHeight="1">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ht="15" customHeight="1">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ht="15" customHeight="1">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ht="15" customHeight="1">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ht="15" customHeight="1">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ht="15" customHeight="1">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ht="15" customHeight="1">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ht="15" customHeight="1">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ht="15" customHeight="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ht="15" customHeight="1">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ht="15" customHeight="1">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ht="15" customHeight="1">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ht="15" customHeight="1">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ht="15" customHeight="1">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ht="15" customHeight="1">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ht="15" customHeight="1">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ht="15" customHeight="1">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ht="15" customHeight="1">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ht="15" customHeight="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ht="15" customHeight="1">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ht="15" customHeight="1">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ht="15" customHeight="1">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ht="15" customHeight="1">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ht="15" customHeight="1">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ht="15" customHeight="1">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ht="15" customHeight="1">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ht="15" customHeight="1">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ht="15" customHeight="1">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ht="15" customHeight="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ht="15" customHeight="1">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ht="15" customHeight="1">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ht="15" customHeight="1">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ht="15" customHeight="1">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ht="15" customHeight="1">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ht="15" customHeight="1">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ht="15" customHeight="1">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ht="15" customHeight="1">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ht="15" customHeight="1">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ht="15" customHeight="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ht="15" customHeight="1">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ht="15" customHeight="1">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ht="15" customHeight="1">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ht="15" customHeight="1">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ht="15" customHeight="1">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ht="15" customHeight="1">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ht="15" customHeight="1">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ht="15" customHeight="1">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ht="15" customHeight="1">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ht="15" customHeight="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ht="15" customHeight="1">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ht="15" customHeight="1">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ht="15" customHeight="1">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ht="15" customHeight="1">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ht="15" customHeight="1">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ht="15" customHeight="1">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ht="15" customHeight="1">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ht="15" customHeight="1">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ht="15" customHeight="1">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ht="15" customHeight="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ht="15" customHeight="1">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ht="15" customHeight="1">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ht="15" customHeight="1">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ht="15" customHeight="1">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ht="15" customHeight="1">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ht="15" customHeight="1">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ht="15" customHeight="1">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ht="15" customHeight="1">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ht="15" customHeight="1">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ht="15" customHeight="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ht="15" customHeight="1">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ht="15" customHeight="1">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ht="15" customHeight="1">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ht="15" customHeight="1">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ht="15" customHeight="1">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ht="15" customHeight="1">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ht="15" customHeight="1">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ht="15" customHeight="1">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ht="15" customHeight="1">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ht="15" customHeight="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ht="15" customHeight="1">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ht="15" customHeight="1">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ht="15" customHeight="1">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ht="15" customHeight="1">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ht="15" customHeight="1">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ht="15" customHeight="1">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ht="15" customHeight="1">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ht="15" customHeight="1">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ht="15" customHeight="1">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ht="15" customHeight="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ht="15" customHeight="1">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ht="15" customHeight="1">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ht="15" customHeight="1">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ht="15" customHeight="1">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ht="15" customHeight="1">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ht="15" customHeight="1">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ht="15" customHeight="1">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ht="15" customHeight="1">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ht="15" customHeight="1">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ht="15" customHeight="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ht="15" customHeight="1">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ht="15" customHeight="1">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ht="15" customHeight="1">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ht="15" customHeight="1">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ht="15" customHeight="1">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ht="15" customHeight="1">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ht="15" customHeight="1">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ht="15" customHeight="1">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ht="15" customHeight="1">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ht="15" customHeight="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ht="15" customHeight="1">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ht="15" customHeight="1">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ht="15" customHeight="1">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ht="15" customHeight="1">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ht="15" customHeight="1">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ht="15" customHeight="1">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ht="15" customHeight="1">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ht="15" customHeight="1">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ht="15" customHeight="1">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ht="15" customHeight="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ht="15" customHeight="1">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ht="15" customHeight="1">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ht="15" customHeight="1">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ht="15" customHeight="1">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ht="15" customHeight="1">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ht="15" customHeight="1">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ht="15" customHeight="1">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ht="15" customHeight="1">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ht="15" customHeight="1">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ht="15" customHeight="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ht="15" customHeight="1">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ht="15" customHeight="1">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ht="15" customHeight="1">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ht="15" customHeight="1">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ht="15" customHeight="1">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ht="15" customHeight="1">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ht="15" customHeight="1">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ht="15" customHeight="1">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ht="15" customHeight="1">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ht="15" customHeight="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ht="15" customHeight="1">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ht="15" customHeight="1">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ht="15" customHeight="1">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ht="15" customHeight="1">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ht="15" customHeight="1">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ht="15" customHeight="1">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ht="15" customHeight="1">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ht="15" customHeight="1">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ht="15" customHeight="1">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ht="15" customHeight="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ht="15" customHeight="1">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ht="15" customHeight="1">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ht="15" customHeight="1">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ht="15" customHeight="1">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ht="15" customHeight="1">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ht="15" customHeight="1">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ht="15" customHeight="1">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ht="15" customHeight="1">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ht="15" customHeight="1">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ht="15" customHeight="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ht="15" customHeight="1">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ht="15" customHeight="1">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ht="15" customHeight="1">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ht="15" customHeight="1">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ht="15" customHeight="1">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ht="15" customHeight="1">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ht="15" customHeight="1">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ht="15" customHeight="1">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ht="15" customHeight="1">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ht="15" customHeight="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ht="15" customHeight="1">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ht="15" customHeight="1">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ht="15" customHeight="1">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ht="15" customHeight="1">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ht="15" customHeight="1">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ht="15" customHeight="1">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ht="15" customHeight="1">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ht="15" customHeight="1">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ht="15" customHeight="1">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ht="15" customHeight="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ht="15" customHeight="1">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ht="15" customHeight="1">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ht="15" customHeight="1">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ht="15" customHeight="1">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ht="15" customHeight="1">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ht="15" customHeight="1">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ht="15" customHeight="1">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ht="15" customHeight="1">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ht="15" customHeight="1">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ht="15" customHeight="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ht="15" customHeight="1">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ht="15" customHeight="1">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ht="15" customHeight="1">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ht="15" customHeight="1">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ht="15" customHeight="1">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ht="15" customHeight="1">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ht="15" customHeight="1">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ht="15" customHeight="1">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ht="15" customHeight="1">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ht="15" customHeight="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ht="15" customHeight="1">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ht="15" customHeight="1">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ht="15" customHeight="1">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ht="15" customHeight="1">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ht="15" customHeight="1">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ht="15" customHeight="1">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ht="15" customHeight="1">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ht="15" customHeight="1">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ht="15" customHeight="1">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ht="15" customHeight="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ht="15" customHeight="1">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ht="15" customHeight="1">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ht="15" customHeight="1">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ht="15" customHeight="1">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ht="15" customHeight="1">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ht="15" customHeight="1">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ht="15" customHeight="1">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ht="15" customHeight="1">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ht="15" customHeight="1">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ht="15" customHeight="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ht="15" customHeight="1">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ht="15" customHeight="1">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ht="15" customHeight="1">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ht="15" customHeight="1">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ht="15" customHeight="1">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ht="15" customHeight="1">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ht="15" customHeight="1">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ht="15" customHeight="1">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ht="15" customHeight="1">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ht="15" customHeight="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ht="15" customHeight="1">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ht="15" customHeight="1">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ht="15" customHeight="1">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ht="15" customHeight="1">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ht="15" customHeight="1">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ht="15" customHeight="1">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ht="15" customHeight="1">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ht="15" customHeight="1">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ht="15" customHeight="1">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ht="15" customHeight="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ht="15" customHeight="1">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ht="15" customHeight="1">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ht="15" customHeight="1">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ht="15" customHeight="1">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ht="15" customHeight="1">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ht="15" customHeight="1">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ht="15" customHeight="1">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ht="15" customHeight="1">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ht="15" customHeight="1">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ht="15" customHeight="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ht="15" customHeight="1">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ht="15" customHeight="1">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ht="15" customHeight="1">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ht="15" customHeight="1">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ht="15" customHeight="1">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ht="15" customHeight="1">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ht="15" customHeight="1">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ht="15" customHeight="1">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ht="15" customHeight="1">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ht="15" customHeight="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ht="15" customHeight="1">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ht="15" customHeight="1">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ht="15" customHeight="1">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ht="15" customHeight="1">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ht="15" customHeight="1">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ht="15" customHeight="1">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ht="15" customHeight="1">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ht="15" customHeight="1">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ht="15" customHeight="1">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ht="15" customHeight="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ht="15" customHeight="1">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ht="15" customHeight="1">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ht="15" customHeight="1">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ht="15" customHeight="1">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ht="15" customHeight="1">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ht="15" customHeight="1">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ht="15" customHeight="1">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ht="15" customHeight="1">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ht="15" customHeight="1">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ht="15" customHeight="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ht="15" customHeight="1">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ht="15" customHeight="1">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ht="15" customHeight="1">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ht="15" customHeight="1">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ht="15" customHeight="1">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ht="15" customHeight="1">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ht="15" customHeight="1">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ht="15" customHeight="1">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ht="15" customHeight="1">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ht="15" customHeight="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ht="15" customHeight="1">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ht="15" customHeight="1">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ht="15" customHeight="1">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ht="15" customHeight="1">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ht="15" customHeight="1">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ht="15" customHeight="1">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ht="15" customHeight="1">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ht="15" customHeight="1">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ht="15" customHeight="1">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ht="15" customHeight="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ht="15" customHeight="1">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ht="15" customHeight="1">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ht="15" customHeight="1">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ht="15" customHeight="1">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ht="15" customHeight="1">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ht="15" customHeight="1">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ht="15" customHeight="1">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ht="15" customHeight="1">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ht="15" customHeight="1">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ht="15" customHeight="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ht="15" customHeight="1">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ht="15" customHeight="1">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ht="15" customHeight="1">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ht="15" customHeight="1">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ht="15" customHeight="1">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ht="15" customHeight="1">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ht="15" customHeight="1">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ht="15" customHeight="1">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ht="15" customHeight="1">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ht="15" customHeight="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ht="15" customHeight="1">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ht="15" customHeight="1">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ht="15" customHeight="1">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ht="15" customHeight="1">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ht="15" customHeight="1">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ht="15" customHeight="1">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ht="15" customHeight="1">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ht="15" customHeight="1">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ht="15" customHeight="1">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ht="15" customHeight="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ht="15" customHeight="1">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ht="15" customHeight="1">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ht="15" customHeight="1">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ht="15" customHeight="1">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ht="15" customHeight="1">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ht="15" customHeight="1">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ht="15" customHeight="1">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ht="15" customHeight="1">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ht="15" customHeight="1">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ht="15" customHeight="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ht="15" customHeight="1">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ht="15" customHeight="1">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ht="15" customHeight="1">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ht="15" customHeight="1">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ht="15" customHeight="1">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ht="15" customHeight="1">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ht="15" customHeight="1">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ht="15" customHeight="1">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ht="15" customHeight="1">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mergeCells count="5">
    <mergeCell ref="C63:E63"/>
    <mergeCell ref="J63:J67"/>
    <mergeCell ref="K49:K52"/>
    <mergeCell ref="J4:J11"/>
    <mergeCell ref="E27:E36"/>
  </mergeCells>
  <pageMargins left="0.7" right="0.7" top="0.75" bottom="0.75" header="0" footer="0"/>
  <pageSetup orientation="landscape"/>
</worksheet>
</file>

<file path=xl/worksheets/sheet18.xml><?xml version="1.0" encoding="utf-8"?>
<worksheet xmlns:r="http://schemas.openxmlformats.org/officeDocument/2006/relationships" xmlns="http://schemas.openxmlformats.org/spreadsheetml/2006/main">
  <sheetPr>
    <tabColor rgb="FFFF99FF"/>
  </sheetPr>
  <sheetViews>
    <sheetView workbookViewId="0" topLeftCell="A29">
      <selection activeCell="L2" sqref="L2"/>
    </sheetView>
  </sheetViews>
  <sheetFormatPr defaultRowHeight="15.75"/>
  <cols>
    <col min="2" max="2" width="12.19922" bestFit="1" customWidth="1"/>
    <col min="3" max="3" width="9.898438" bestFit="1" customWidth="1"/>
    <col min="4" max="4" width="10.39844" customWidth="1"/>
    <col min="5" max="5" width="10.19922" bestFit="1" customWidth="1"/>
    <col min="6" max="6" width="11.69922" customWidth="1"/>
    <col min="7" max="7" width="17.69922" bestFit="1" customWidth="1"/>
    <col min="8" max="8" width="15" customWidth="1"/>
    <col min="9" max="9" width="10.89844" customWidth="1"/>
    <col min="10" max="10" width="12.59766" customWidth="1"/>
    <col min="11" max="11" width="12.19922" customWidth="1"/>
    <col min="12" max="12" width="17.69922" bestFit="1" customWidth="1"/>
    <col min="13" max="13" width="6.699219" bestFit="1" customWidth="1"/>
    <col min="14" max="14" width="10.19922" bestFit="1" customWidth="1"/>
    <col min="15" max="15" width="5.699219" bestFit="1" customWidth="1"/>
  </cols>
  <sheetData>
    <row r="2">
      <c r="B2" s="182" t="s">
        <v>2</v>
      </c>
      <c r="C2" s="182" t="s">
        <v>50</v>
      </c>
      <c r="D2" s="182" t="s">
        <v>151</v>
      </c>
      <c r="E2" s="182" t="s">
        <v>152</v>
      </c>
    </row>
    <row r="3" ht="28.5">
      <c r="B3" s="183" t="s">
        <v>45</v>
      </c>
      <c r="C3" s="184">
        <v>36533</v>
      </c>
      <c r="D3" s="184" t="s">
        <v>9</v>
      </c>
      <c r="E3" s="185">
        <v>2000</v>
      </c>
      <c r="G3" t="s">
        <v>2</v>
      </c>
      <c r="H3" t="s">
        <v>50</v>
      </c>
      <c r="I3" t="s">
        <v>151</v>
      </c>
      <c r="J3" t="s">
        <v>152</v>
      </c>
      <c r="L3" t="s">
        <v>2</v>
      </c>
      <c r="M3" t="s">
        <v>50</v>
      </c>
      <c r="N3" t="s">
        <v>151</v>
      </c>
      <c r="O3" t="s">
        <v>152</v>
      </c>
    </row>
    <row r="4" ht="28.5">
      <c r="B4" s="183" t="s">
        <v>45</v>
      </c>
      <c r="C4" s="184">
        <v>36540</v>
      </c>
      <c r="D4" s="184" t="s">
        <v>6</v>
      </c>
      <c r="E4" s="185">
        <v>28000</v>
      </c>
      <c r="G4" t="s">
        <v>45</v>
      </c>
      <c r="H4">
        <v>36533</v>
      </c>
      <c r="I4" t="s">
        <v>9</v>
      </c>
      <c r="J4">
        <v>2000</v>
      </c>
      <c r="L4" t="s">
        <v>45</v>
      </c>
      <c r="M4">
        <v>36533</v>
      </c>
      <c r="N4" t="s">
        <v>9</v>
      </c>
      <c r="O4">
        <v>2000</v>
      </c>
    </row>
    <row r="5" ht="28.5">
      <c r="B5" s="183" t="s">
        <v>160</v>
      </c>
      <c r="C5" s="184">
        <v>36526</v>
      </c>
      <c r="D5" s="184" t="s">
        <v>21</v>
      </c>
      <c r="E5" s="185">
        <v>14000</v>
      </c>
      <c r="G5" t="s">
        <v>45</v>
      </c>
      <c r="H5">
        <v>36540</v>
      </c>
      <c r="I5" t="s">
        <v>6</v>
      </c>
      <c r="J5">
        <v>28000</v>
      </c>
      <c r="L5" t="s">
        <v>45</v>
      </c>
      <c r="M5">
        <v>36540</v>
      </c>
      <c r="N5" t="s">
        <v>6</v>
      </c>
      <c r="O5">
        <v>28000</v>
      </c>
    </row>
    <row r="6" ht="28.5">
      <c r="B6" s="183" t="s">
        <v>160</v>
      </c>
      <c r="C6" s="184">
        <v>36536</v>
      </c>
      <c r="D6" s="184" t="s">
        <v>15</v>
      </c>
      <c r="E6" s="185">
        <v>36000</v>
      </c>
      <c r="G6" t="s">
        <v>160</v>
      </c>
      <c r="H6">
        <v>36526</v>
      </c>
      <c r="I6" t="s">
        <v>21</v>
      </c>
      <c r="J6">
        <v>14000</v>
      </c>
      <c r="L6" t="s">
        <v>160</v>
      </c>
      <c r="M6">
        <v>36526</v>
      </c>
      <c r="N6" t="s">
        <v>21</v>
      </c>
      <c r="O6">
        <v>14000</v>
      </c>
    </row>
    <row r="7" ht="28.5">
      <c r="B7" s="183" t="s">
        <v>245</v>
      </c>
      <c r="C7" s="184">
        <v>36528</v>
      </c>
      <c r="D7" s="184" t="s">
        <v>21</v>
      </c>
      <c r="E7" s="185">
        <v>16000</v>
      </c>
      <c r="G7" t="s">
        <v>160</v>
      </c>
      <c r="H7">
        <v>36536</v>
      </c>
      <c r="I7" t="s">
        <v>15</v>
      </c>
      <c r="J7">
        <v>36000</v>
      </c>
      <c r="L7" t="s">
        <v>160</v>
      </c>
      <c r="M7">
        <v>36536</v>
      </c>
      <c r="N7" t="s">
        <v>15</v>
      </c>
      <c r="O7">
        <v>36000</v>
      </c>
    </row>
    <row r="8" ht="28.5">
      <c r="B8" s="183" t="s">
        <v>246</v>
      </c>
      <c r="C8" s="184">
        <v>36544</v>
      </c>
      <c r="D8" s="183" t="s">
        <v>9</v>
      </c>
      <c r="E8" s="185">
        <v>18000</v>
      </c>
      <c r="G8" t="s">
        <v>245</v>
      </c>
      <c r="H8">
        <v>36528</v>
      </c>
      <c r="I8" t="s">
        <v>21</v>
      </c>
      <c r="J8">
        <v>16000</v>
      </c>
      <c r="L8" t="s">
        <v>245</v>
      </c>
      <c r="M8">
        <v>36528</v>
      </c>
      <c r="N8" t="s">
        <v>21</v>
      </c>
      <c r="O8">
        <v>16000</v>
      </c>
    </row>
    <row r="9">
      <c r="B9" s="183" t="s">
        <v>164</v>
      </c>
      <c r="C9" s="184">
        <v>36538</v>
      </c>
      <c r="D9" s="184" t="s">
        <v>6</v>
      </c>
      <c r="E9" s="185">
        <v>30000</v>
      </c>
      <c r="G9" t="s">
        <v>246</v>
      </c>
      <c r="H9">
        <v>36544</v>
      </c>
      <c r="I9" t="s">
        <v>9</v>
      </c>
      <c r="J9">
        <v>18000</v>
      </c>
      <c r="L9" t="s">
        <v>246</v>
      </c>
      <c r="M9">
        <v>36544</v>
      </c>
      <c r="N9" t="s">
        <v>9</v>
      </c>
      <c r="O9">
        <v>18000</v>
      </c>
    </row>
    <row r="10">
      <c r="B10" s="183" t="s">
        <v>164</v>
      </c>
      <c r="C10" s="184">
        <v>36532</v>
      </c>
      <c r="D10" s="184" t="s">
        <v>15</v>
      </c>
      <c r="E10" s="185">
        <v>38000</v>
      </c>
      <c r="G10" t="s">
        <v>164</v>
      </c>
      <c r="H10">
        <v>36538</v>
      </c>
      <c r="I10" t="s">
        <v>6</v>
      </c>
      <c r="J10">
        <v>30000</v>
      </c>
      <c r="L10" t="s">
        <v>164</v>
      </c>
      <c r="M10">
        <v>36538</v>
      </c>
      <c r="N10" t="s">
        <v>6</v>
      </c>
      <c r="O10">
        <v>30000</v>
      </c>
    </row>
    <row r="11">
      <c r="B11" s="183" t="s">
        <v>154</v>
      </c>
      <c r="C11" s="184">
        <v>36531</v>
      </c>
      <c r="D11" s="184" t="s">
        <v>9</v>
      </c>
      <c r="E11" s="185">
        <v>4000</v>
      </c>
      <c r="G11" t="s">
        <v>164</v>
      </c>
      <c r="H11">
        <v>36532</v>
      </c>
      <c r="I11" t="s">
        <v>15</v>
      </c>
      <c r="J11">
        <v>38000</v>
      </c>
      <c r="L11" t="s">
        <v>164</v>
      </c>
      <c r="M11">
        <v>36532</v>
      </c>
      <c r="N11" t="s">
        <v>15</v>
      </c>
      <c r="O11">
        <v>38000</v>
      </c>
    </row>
    <row r="12">
      <c r="B12" s="183" t="s">
        <v>165</v>
      </c>
      <c r="C12" s="184">
        <v>36538</v>
      </c>
      <c r="D12" s="184" t="s">
        <v>6</v>
      </c>
      <c r="E12" s="185">
        <v>20000</v>
      </c>
      <c r="G12" t="s">
        <v>154</v>
      </c>
      <c r="H12">
        <v>36531</v>
      </c>
      <c r="I12" t="s">
        <v>9</v>
      </c>
      <c r="J12">
        <v>4000</v>
      </c>
      <c r="L12" t="s">
        <v>154</v>
      </c>
      <c r="M12">
        <v>36531</v>
      </c>
      <c r="N12" t="s">
        <v>9</v>
      </c>
      <c r="O12">
        <v>4000</v>
      </c>
    </row>
    <row r="13">
      <c r="B13" s="183" t="s">
        <v>157</v>
      </c>
      <c r="C13" s="184">
        <v>36542</v>
      </c>
      <c r="D13" s="184" t="s">
        <v>9</v>
      </c>
      <c r="E13" s="185">
        <v>6000</v>
      </c>
      <c r="G13" t="s">
        <v>165</v>
      </c>
      <c r="H13">
        <v>36538</v>
      </c>
      <c r="I13" t="s">
        <v>6</v>
      </c>
      <c r="J13">
        <v>20000</v>
      </c>
      <c r="L13" t="s">
        <v>165</v>
      </c>
      <c r="M13">
        <v>36538</v>
      </c>
      <c r="N13" t="s">
        <v>6</v>
      </c>
      <c r="O13">
        <v>20000</v>
      </c>
    </row>
    <row r="14">
      <c r="B14" s="183" t="s">
        <v>157</v>
      </c>
      <c r="C14" s="184">
        <v>36535</v>
      </c>
      <c r="D14" s="184" t="s">
        <v>9</v>
      </c>
      <c r="E14" s="185">
        <v>8000</v>
      </c>
      <c r="G14" t="s">
        <v>157</v>
      </c>
      <c r="H14">
        <v>36542</v>
      </c>
      <c r="I14" t="s">
        <v>9</v>
      </c>
      <c r="J14">
        <v>6000</v>
      </c>
      <c r="L14" t="s">
        <v>157</v>
      </c>
      <c r="M14">
        <v>36542</v>
      </c>
      <c r="N14" t="s">
        <v>9</v>
      </c>
      <c r="O14">
        <v>6000</v>
      </c>
    </row>
    <row r="15" ht="28.5">
      <c r="B15" s="183" t="s">
        <v>162</v>
      </c>
      <c r="C15" s="184">
        <v>36545</v>
      </c>
      <c r="D15" s="183" t="s">
        <v>21</v>
      </c>
      <c r="E15" s="185">
        <v>20000</v>
      </c>
      <c r="G15" t="s">
        <v>157</v>
      </c>
      <c r="H15">
        <v>36535</v>
      </c>
      <c r="I15" t="s">
        <v>9</v>
      </c>
      <c r="J15">
        <v>8000</v>
      </c>
      <c r="L15" t="s">
        <v>157</v>
      </c>
      <c r="M15">
        <v>36535</v>
      </c>
      <c r="N15" t="s">
        <v>9</v>
      </c>
      <c r="O15">
        <v>8000</v>
      </c>
    </row>
    <row r="16" ht="28.5">
      <c r="B16" s="183" t="s">
        <v>249</v>
      </c>
      <c r="C16" s="184">
        <v>36529</v>
      </c>
      <c r="D16" s="184" t="s">
        <v>15</v>
      </c>
      <c r="E16" s="185">
        <v>42000</v>
      </c>
      <c r="G16" t="s">
        <v>162</v>
      </c>
      <c r="H16">
        <v>36545</v>
      </c>
      <c r="I16" t="s">
        <v>21</v>
      </c>
      <c r="J16">
        <v>20000</v>
      </c>
      <c r="L16" t="s">
        <v>162</v>
      </c>
      <c r="M16">
        <v>36545</v>
      </c>
      <c r="N16" t="s">
        <v>21</v>
      </c>
      <c r="O16">
        <v>20000</v>
      </c>
    </row>
    <row r="17">
      <c r="B17" s="186" t="s">
        <v>158</v>
      </c>
      <c r="C17" s="187">
        <v>36531</v>
      </c>
      <c r="D17" s="187" t="s">
        <v>9</v>
      </c>
      <c r="E17" s="185">
        <v>10000</v>
      </c>
      <c r="G17" t="s">
        <v>249</v>
      </c>
      <c r="H17">
        <v>36529</v>
      </c>
      <c r="I17" t="s">
        <v>15</v>
      </c>
      <c r="J17">
        <v>42000</v>
      </c>
      <c r="L17" t="s">
        <v>249</v>
      </c>
      <c r="M17">
        <v>36529</v>
      </c>
      <c r="N17" t="s">
        <v>15</v>
      </c>
      <c r="O17">
        <v>42000</v>
      </c>
    </row>
    <row r="18">
      <c r="B18" s="188" t="s">
        <v>163</v>
      </c>
      <c r="C18" s="189">
        <v>36535</v>
      </c>
      <c r="D18" s="189" t="s">
        <v>21</v>
      </c>
      <c r="E18" s="185">
        <v>25000</v>
      </c>
      <c r="G18" t="s">
        <v>158</v>
      </c>
      <c r="H18">
        <v>36531</v>
      </c>
      <c r="I18" t="s">
        <v>9</v>
      </c>
      <c r="J18">
        <v>10000</v>
      </c>
      <c r="L18" t="s">
        <v>158</v>
      </c>
      <c r="M18">
        <v>36531</v>
      </c>
      <c r="N18" t="s">
        <v>9</v>
      </c>
      <c r="O18">
        <v>10000</v>
      </c>
    </row>
    <row r="19">
      <c r="G19" t="s">
        <v>163</v>
      </c>
      <c r="H19">
        <v>36535</v>
      </c>
      <c r="I19" t="s">
        <v>21</v>
      </c>
      <c r="J19">
        <v>25000</v>
      </c>
      <c r="L19" t="s">
        <v>163</v>
      </c>
      <c r="M19">
        <v>36535</v>
      </c>
      <c r="N19" t="s">
        <v>21</v>
      </c>
      <c r="O19">
        <v>25000</v>
      </c>
    </row>
    <row r="21">
      <c r="B21" s="182"/>
      <c r="C21" s="182"/>
      <c r="D21" s="182"/>
      <c r="E21" s="182"/>
    </row>
    <row r="22">
      <c r="B22" s="183"/>
      <c r="C22" s="184"/>
      <c r="D22" s="184"/>
      <c r="E22" s="185"/>
    </row>
    <row r="23">
      <c r="B23" s="183"/>
      <c r="C23" s="184" t="s">
        <v>256</v>
      </c>
      <c r="D23" s="184"/>
      <c r="E23" s="185"/>
    </row>
    <row r="24" ht="30">
      <c r="B24" s="183"/>
      <c r="C24" s="184"/>
      <c r="D24" s="184"/>
      <c r="E24" s="185"/>
      <c r="K24" s="190" t="s">
        <v>2</v>
      </c>
      <c r="L24" s="190" t="s">
        <v>50</v>
      </c>
      <c r="M24" s="190" t="s">
        <v>151</v>
      </c>
      <c r="N24" s="190" t="s">
        <v>152</v>
      </c>
    </row>
    <row r="25" ht="28.5">
      <c r="B25" s="183"/>
      <c r="C25" s="184"/>
      <c r="D25" s="184"/>
      <c r="E25" s="185"/>
      <c r="K25" s="191" t="s">
        <v>45</v>
      </c>
      <c r="L25" s="192">
        <v>36533</v>
      </c>
      <c r="M25" s="192" t="s">
        <v>9</v>
      </c>
      <c r="N25" s="193">
        <v>2000</v>
      </c>
    </row>
    <row r="26" ht="28.5">
      <c r="B26" s="183" t="s">
        <v>257</v>
      </c>
      <c r="C26" s="184"/>
      <c r="D26" s="184"/>
      <c r="E26" s="185"/>
      <c r="K26" s="191" t="s">
        <v>45</v>
      </c>
      <c r="L26" s="192">
        <v>36540</v>
      </c>
      <c r="M26" s="192" t="s">
        <v>6</v>
      </c>
      <c r="N26" s="193">
        <v>28000</v>
      </c>
    </row>
    <row r="27" ht="28.5">
      <c r="B27" s="183"/>
      <c r="C27" s="184"/>
      <c r="D27" s="183" t="s">
        <v>258</v>
      </c>
      <c r="E27" s="185"/>
      <c r="K27" s="191" t="s">
        <v>160</v>
      </c>
      <c r="L27" s="192">
        <v>36526</v>
      </c>
      <c r="M27" s="192" t="s">
        <v>21</v>
      </c>
      <c r="N27" s="193">
        <v>14000</v>
      </c>
    </row>
    <row r="28" ht="28.5">
      <c r="B28" s="183"/>
      <c r="C28" s="184"/>
      <c r="D28" s="184"/>
      <c r="E28" s="185"/>
      <c r="K28" s="191" t="s">
        <v>160</v>
      </c>
      <c r="L28" s="192">
        <v>36536</v>
      </c>
      <c r="M28" s="192" t="s">
        <v>15</v>
      </c>
      <c r="N28" s="193">
        <v>36000</v>
      </c>
    </row>
    <row r="29" ht="28.5">
      <c r="B29" s="183"/>
      <c r="C29" s="184"/>
      <c r="D29" s="184"/>
      <c r="E29" s="185" t="s">
        <v>259</v>
      </c>
      <c r="K29" s="191" t="s">
        <v>245</v>
      </c>
      <c r="L29" s="192">
        <v>36528</v>
      </c>
      <c r="M29" s="192" t="s">
        <v>21</v>
      </c>
      <c r="N29" s="193">
        <v>16000</v>
      </c>
    </row>
    <row r="30" ht="28.5">
      <c r="B30" s="183"/>
      <c r="C30" s="184"/>
      <c r="D30" s="184"/>
      <c r="E30" s="185"/>
      <c r="K30" s="191" t="s">
        <v>246</v>
      </c>
      <c r="L30" s="192">
        <v>36544</v>
      </c>
      <c r="M30" s="191" t="s">
        <v>9</v>
      </c>
      <c r="N30" s="193">
        <v>18000</v>
      </c>
    </row>
    <row r="31">
      <c r="B31" s="183"/>
      <c r="C31" s="184" t="s">
        <v>260</v>
      </c>
      <c r="D31" s="184"/>
      <c r="E31" s="185"/>
      <c r="K31" s="191" t="s">
        <v>164</v>
      </c>
      <c r="L31" s="192">
        <v>36538</v>
      </c>
      <c r="M31" s="192" t="s">
        <v>6</v>
      </c>
      <c r="N31" s="193">
        <v>30000</v>
      </c>
    </row>
    <row r="32">
      <c r="B32" s="183"/>
      <c r="C32" s="184"/>
      <c r="D32" s="184"/>
      <c r="E32" s="185"/>
      <c r="K32" s="191" t="s">
        <v>164</v>
      </c>
      <c r="L32" s="192">
        <v>36532</v>
      </c>
      <c r="M32" s="192" t="s">
        <v>15</v>
      </c>
      <c r="N32" s="193">
        <v>38000</v>
      </c>
    </row>
    <row r="33">
      <c r="B33" s="183"/>
      <c r="C33" s="184"/>
      <c r="D33" s="184"/>
      <c r="E33" s="185"/>
      <c r="K33" s="191" t="s">
        <v>154</v>
      </c>
      <c r="L33" s="192">
        <v>36531</v>
      </c>
      <c r="M33" s="192" t="s">
        <v>9</v>
      </c>
      <c r="N33" s="193">
        <v>4000</v>
      </c>
    </row>
    <row r="34">
      <c r="B34" s="183"/>
      <c r="C34" s="184" t="s">
        <v>261</v>
      </c>
      <c r="D34" s="183"/>
      <c r="E34" s="185"/>
      <c r="K34" s="191" t="s">
        <v>165</v>
      </c>
      <c r="L34" s="192">
        <v>36538</v>
      </c>
      <c r="M34" s="192" t="s">
        <v>6</v>
      </c>
      <c r="N34" s="193">
        <v>20000</v>
      </c>
    </row>
    <row r="35">
      <c r="B35" s="183" t="s">
        <v>262</v>
      </c>
      <c r="C35" s="184"/>
      <c r="D35" s="184"/>
      <c r="E35" s="185"/>
      <c r="K35" s="191" t="s">
        <v>157</v>
      </c>
      <c r="L35" s="192">
        <v>36542</v>
      </c>
      <c r="M35" s="192" t="s">
        <v>9</v>
      </c>
      <c r="N35" s="193">
        <v>6000</v>
      </c>
    </row>
    <row r="36">
      <c r="B36" s="186"/>
      <c r="C36" s="187"/>
      <c r="D36" s="187"/>
      <c r="E36" s="185"/>
      <c r="K36" s="191" t="s">
        <v>157</v>
      </c>
      <c r="L36" s="192">
        <v>36535</v>
      </c>
      <c r="M36" s="192" t="s">
        <v>9</v>
      </c>
      <c r="N36" s="193">
        <v>8000</v>
      </c>
    </row>
    <row r="37" ht="28.5">
      <c r="B37" s="188"/>
      <c r="C37" s="189"/>
      <c r="D37" s="189"/>
      <c r="E37" s="185"/>
      <c r="K37" s="191" t="s">
        <v>162</v>
      </c>
      <c r="L37" s="192">
        <v>36545</v>
      </c>
      <c r="M37" s="191" t="s">
        <v>21</v>
      </c>
      <c r="N37" s="193">
        <v>20000</v>
      </c>
    </row>
    <row r="38" ht="28.5">
      <c r="K38" s="191" t="s">
        <v>249</v>
      </c>
      <c r="L38" s="192">
        <v>36529</v>
      </c>
      <c r="M38" s="192" t="s">
        <v>15</v>
      </c>
      <c r="N38" s="193">
        <v>42000</v>
      </c>
    </row>
    <row r="39">
      <c r="K39" s="191" t="s">
        <v>158</v>
      </c>
      <c r="L39" s="192">
        <v>36531</v>
      </c>
      <c r="M39" s="192" t="s">
        <v>9</v>
      </c>
      <c r="N39" s="193">
        <v>10000</v>
      </c>
    </row>
    <row r="40">
      <c r="K40" s="191" t="s">
        <v>163</v>
      </c>
      <c r="L40" s="192">
        <v>36535</v>
      </c>
      <c r="M40" s="192" t="s">
        <v>21</v>
      </c>
      <c r="N40" s="193">
        <v>25000</v>
      </c>
    </row>
    <row r="43" ht="57">
      <c r="B43" s="182" t="s">
        <v>2</v>
      </c>
      <c r="C43" s="183" t="s">
        <v>45</v>
      </c>
      <c r="D43" s="183" t="s">
        <v>45</v>
      </c>
      <c r="E43" s="183" t="s">
        <v>160</v>
      </c>
      <c r="F43" s="183" t="s">
        <v>160</v>
      </c>
      <c r="G43" s="183" t="s">
        <v>245</v>
      </c>
      <c r="H43" s="183" t="s">
        <v>246</v>
      </c>
      <c r="I43" s="183" t="s">
        <v>164</v>
      </c>
      <c r="J43" s="183" t="s">
        <v>164</v>
      </c>
      <c r="K43" s="183" t="s">
        <v>154</v>
      </c>
      <c r="L43" s="183" t="s">
        <v>165</v>
      </c>
      <c r="M43" s="183" t="s">
        <v>157</v>
      </c>
      <c r="N43" s="183" t="s">
        <v>157</v>
      </c>
      <c r="O43" s="183" t="s">
        <v>162</v>
      </c>
      <c r="P43" s="183" t="s">
        <v>249</v>
      </c>
      <c r="Q43" s="186" t="s">
        <v>158</v>
      </c>
      <c r="R43" s="188" t="s">
        <v>163</v>
      </c>
    </row>
    <row r="44">
      <c r="B44" s="182" t="s">
        <v>50</v>
      </c>
      <c r="C44" s="184">
        <v>36533</v>
      </c>
      <c r="D44" s="184">
        <v>36540</v>
      </c>
      <c r="E44" s="184">
        <v>36526</v>
      </c>
      <c r="F44" s="184">
        <v>36536</v>
      </c>
      <c r="G44" s="184">
        <v>36528</v>
      </c>
      <c r="H44" s="184">
        <v>36544</v>
      </c>
      <c r="I44" s="184">
        <v>36538</v>
      </c>
      <c r="J44" s="184">
        <v>36532</v>
      </c>
      <c r="K44" s="184">
        <v>36531</v>
      </c>
      <c r="L44" s="184">
        <v>36538</v>
      </c>
      <c r="M44" s="184">
        <v>36542</v>
      </c>
      <c r="N44" s="184">
        <v>36535</v>
      </c>
      <c r="O44" s="184">
        <v>36545</v>
      </c>
      <c r="P44" s="184">
        <v>36529</v>
      </c>
      <c r="Q44" s="187">
        <v>36531</v>
      </c>
      <c r="R44" s="189">
        <v>36535</v>
      </c>
    </row>
    <row r="45">
      <c r="B45" s="182" t="s">
        <v>151</v>
      </c>
      <c r="C45" s="184" t="s">
        <v>9</v>
      </c>
      <c r="D45" s="184" t="s">
        <v>6</v>
      </c>
      <c r="E45" s="184" t="s">
        <v>21</v>
      </c>
      <c r="F45" s="184" t="s">
        <v>15</v>
      </c>
      <c r="G45" s="184" t="s">
        <v>21</v>
      </c>
      <c r="H45" s="183" t="s">
        <v>9</v>
      </c>
      <c r="I45" s="184" t="s">
        <v>6</v>
      </c>
      <c r="J45" s="184" t="s">
        <v>15</v>
      </c>
      <c r="K45" s="184" t="s">
        <v>9</v>
      </c>
      <c r="L45" s="184" t="s">
        <v>6</v>
      </c>
      <c r="M45" s="184" t="s">
        <v>9</v>
      </c>
      <c r="N45" s="184" t="s">
        <v>9</v>
      </c>
      <c r="O45" s="183" t="s">
        <v>21</v>
      </c>
      <c r="P45" s="184" t="s">
        <v>15</v>
      </c>
      <c r="Q45" s="187" t="s">
        <v>9</v>
      </c>
      <c r="R45" s="189" t="s">
        <v>21</v>
      </c>
    </row>
    <row r="46">
      <c r="B46" s="182" t="s">
        <v>152</v>
      </c>
      <c r="C46" s="185">
        <v>2000</v>
      </c>
      <c r="D46" s="185">
        <v>28000</v>
      </c>
      <c r="E46" s="185">
        <v>14000</v>
      </c>
      <c r="F46" s="185">
        <v>36000</v>
      </c>
      <c r="G46" s="185">
        <v>16000</v>
      </c>
      <c r="H46" s="185">
        <v>18000</v>
      </c>
      <c r="I46" s="185">
        <v>30000</v>
      </c>
      <c r="J46" s="185">
        <v>38000</v>
      </c>
      <c r="K46" s="185">
        <v>4000</v>
      </c>
      <c r="L46" s="185">
        <v>20000</v>
      </c>
      <c r="M46" s="185">
        <v>6000</v>
      </c>
      <c r="N46" s="185">
        <v>8000</v>
      </c>
      <c r="O46" s="185">
        <v>20000</v>
      </c>
      <c r="P46" s="185">
        <v>42000</v>
      </c>
      <c r="Q46" s="185">
        <v>10000</v>
      </c>
      <c r="R46" s="185">
        <v>25000</v>
      </c>
    </row>
    <row r="48">
      <c r="D48" s="185">
        <v>2005</v>
      </c>
      <c r="E48" s="185">
        <v>2005</v>
      </c>
    </row>
    <row r="49">
      <c r="D49" s="185">
        <v>28000</v>
      </c>
      <c r="E49" s="185">
        <v>28010</v>
      </c>
    </row>
    <row r="50">
      <c r="D50" s="185">
        <v>14000</v>
      </c>
      <c r="E50" s="185">
        <v>14015</v>
      </c>
    </row>
    <row r="51">
      <c r="D51" s="185">
        <v>36000</v>
      </c>
      <c r="E51" s="185">
        <v>36020</v>
      </c>
    </row>
    <row r="52">
      <c r="D52" s="185">
        <v>16000</v>
      </c>
      <c r="E52" s="185">
        <v>16025</v>
      </c>
    </row>
    <row r="53">
      <c r="D53" s="185">
        <v>18000</v>
      </c>
      <c r="E53" s="185">
        <v>18030</v>
      </c>
    </row>
    <row r="54">
      <c r="D54" s="185">
        <v>30000</v>
      </c>
      <c r="E54" s="185">
        <v>30035</v>
      </c>
    </row>
    <row r="55" ht="15.6">
      <c r="D55" s="185">
        <v>38000</v>
      </c>
      <c r="E55" s="185">
        <v>38040</v>
      </c>
    </row>
    <row r="56" ht="15.6">
      <c r="D56" s="185">
        <v>4000</v>
      </c>
      <c r="E56" s="185">
        <v>4045</v>
      </c>
    </row>
    <row r="57" ht="15.6">
      <c r="D57" s="185">
        <v>20000</v>
      </c>
      <c r="E57" s="185">
        <v>20050</v>
      </c>
    </row>
    <row r="58" ht="15.6">
      <c r="D58" s="185">
        <v>6000</v>
      </c>
      <c r="E58" s="185">
        <v>6055</v>
      </c>
    </row>
    <row r="59" ht="15.6">
      <c r="D59" s="185">
        <v>8000</v>
      </c>
      <c r="E59" s="185">
        <v>8060</v>
      </c>
    </row>
    <row r="60" ht="15.6">
      <c r="D60" s="185">
        <v>20000</v>
      </c>
      <c r="E60" s="185">
        <v>20065</v>
      </c>
    </row>
    <row r="61" ht="15.6">
      <c r="D61" s="185">
        <v>42000</v>
      </c>
      <c r="E61" s="185">
        <v>42070</v>
      </c>
    </row>
    <row r="62" ht="15.6">
      <c r="D62" s="185">
        <v>10000</v>
      </c>
      <c r="E62" s="185">
        <v>10075</v>
      </c>
    </row>
    <row r="63" ht="15.6">
      <c r="D63" s="185">
        <v>25000</v>
      </c>
      <c r="E63" s="185">
        <v>25080</v>
      </c>
    </row>
  </sheetData>
  <legacyDrawing r:id="rId1"/>
</worksheet>
</file>

<file path=xl/worksheets/sheet19.xml><?xml version="1.0" encoding="utf-8"?>
<worksheet xmlns:r="http://schemas.openxmlformats.org/officeDocument/2006/relationships" xmlns="http://schemas.openxmlformats.org/spreadsheetml/2006/main">
  <sheetPr>
    <tabColor rgb="FFFFC000"/>
  </sheetPr>
  <sheetViews>
    <sheetView workbookViewId="0">
      <selection activeCell="S17" sqref="S17"/>
    </sheetView>
  </sheetViews>
  <sheetFormatPr defaultRowHeight="15.75"/>
  <sheetData>
    <row r="2" ht="15.6">
      <c r="B2" s="194">
        <v>500</v>
      </c>
      <c r="C2" s="194"/>
      <c r="D2" s="194"/>
    </row>
    <row r="3" ht="15.6">
      <c r="B3" s="194"/>
      <c r="C3" s="194"/>
      <c r="D3" s="194"/>
    </row>
    <row r="4" ht="15.6">
      <c r="B4" s="194"/>
      <c r="C4" s="194"/>
      <c r="D4" s="194">
        <v>999</v>
      </c>
    </row>
  </sheetData>
  <dataValidations count="1">
    <dataValidation type="whole" allowBlank="1" operator="lessThan" showInputMessage="1" showErrorMessage="1" errorTitle="Incorrect data !!!" error="Enter whole numbers only less than 1000 !" promptTitle="Values only below 1000" prompt="Make sure to enter whole numbers only less than 1000 !" sqref="B2:D4">
      <formula1>1000</formula1>
    </dataValidation>
  </dataValidations>
</worksheet>
</file>

<file path=xl/worksheets/sheet20.xml><?xml version="1.0" encoding="utf-8"?>
<worksheet xmlns:r="http://schemas.openxmlformats.org/officeDocument/2006/relationships" xmlns="http://schemas.openxmlformats.org/spreadsheetml/2006/main">
  <sheetPr>
    <tabColor rgb="FFFF99FF"/>
  </sheetPr>
  <sheetViews>
    <sheetView tabSelected="1" zoomScaleNormal="100" workbookViewId="0" topLeftCell="A7">
      <selection activeCell="E16" sqref="E16"/>
    </sheetView>
  </sheetViews>
  <sheetFormatPr defaultRowHeight="15.75"/>
  <cols>
    <col min="2" max="2" width="8.597656" bestFit="1" customWidth="1"/>
    <col min="3" max="3" width="15.69922" bestFit="1" customWidth="1"/>
    <col min="4" max="4" width="10.39844" bestFit="1" customWidth="1"/>
    <col min="6" max="6" width="10.89844" bestFit="1" customWidth="1"/>
    <col min="8" max="8" width="13.19922" bestFit="1" customWidth="1"/>
    <col min="10" max="10" width="12.69922" bestFit="1" customWidth="1"/>
    <col min="12" max="12" width="10.89844" bestFit="1" customWidth="1"/>
    <col min="14" max="14" width="10.89844" bestFit="1" customWidth="1"/>
  </cols>
  <sheetData>
    <row r="2">
      <c r="B2" s="195" t="s">
        <v>151</v>
      </c>
      <c r="C2" s="196" t="s">
        <v>2</v>
      </c>
      <c r="D2" s="197" t="s">
        <v>152</v>
      </c>
      <c r="F2" s="198" t="s">
        <v>152</v>
      </c>
      <c r="H2" s="199" t="s">
        <v>152</v>
      </c>
      <c r="J2" s="198" t="s">
        <v>152</v>
      </c>
      <c r="L2" s="198" t="s">
        <v>152</v>
      </c>
      <c r="N2" s="198" t="s">
        <v>152</v>
      </c>
    </row>
    <row r="3">
      <c r="B3" s="200" t="s">
        <v>21</v>
      </c>
      <c r="C3" s="201" t="s">
        <v>154</v>
      </c>
      <c r="D3" s="202">
        <v>12000</v>
      </c>
      <c r="F3" s="203">
        <v>3000</v>
      </c>
      <c r="H3" s="203">
        <v>3000</v>
      </c>
      <c r="J3" s="203">
        <v>3000</v>
      </c>
      <c r="L3" s="203">
        <v>3000</v>
      </c>
      <c r="N3" s="203">
        <v>3000</v>
      </c>
    </row>
    <row r="4">
      <c r="B4" s="200" t="s">
        <v>9</v>
      </c>
      <c r="C4" s="201" t="s">
        <v>45</v>
      </c>
      <c r="D4" s="202">
        <v>35700</v>
      </c>
      <c r="F4" s="203">
        <v>4000</v>
      </c>
      <c r="H4" s="203">
        <v>4000</v>
      </c>
      <c r="J4" s="203">
        <v>4000</v>
      </c>
      <c r="L4" s="203">
        <v>4000</v>
      </c>
      <c r="N4" s="203">
        <v>4000</v>
      </c>
    </row>
    <row r="5">
      <c r="B5" s="200" t="s">
        <v>9</v>
      </c>
      <c r="C5" s="201" t="s">
        <v>45</v>
      </c>
      <c r="D5" s="202">
        <v>42840</v>
      </c>
      <c r="F5" s="203">
        <v>4000</v>
      </c>
      <c r="H5" s="203">
        <v>4000</v>
      </c>
      <c r="J5" s="203">
        <v>4000</v>
      </c>
      <c r="L5" s="203">
        <v>4000</v>
      </c>
      <c r="N5" s="203">
        <v>4000</v>
      </c>
    </row>
    <row r="6">
      <c r="B6" s="200" t="s">
        <v>9</v>
      </c>
      <c r="C6" s="201" t="s">
        <v>158</v>
      </c>
      <c r="D6" s="202">
        <v>10000</v>
      </c>
      <c r="F6" s="203">
        <v>6000</v>
      </c>
      <c r="H6" s="203">
        <v>6000</v>
      </c>
      <c r="J6" s="203">
        <v>6000</v>
      </c>
      <c r="L6" s="203">
        <v>6000</v>
      </c>
      <c r="N6" s="203">
        <v>6000</v>
      </c>
    </row>
    <row r="7">
      <c r="B7" s="200" t="s">
        <v>21</v>
      </c>
      <c r="C7" s="201" t="s">
        <v>45</v>
      </c>
      <c r="D7" s="202">
        <v>32640</v>
      </c>
      <c r="F7" s="203">
        <v>8000</v>
      </c>
      <c r="H7" s="203">
        <v>8000</v>
      </c>
      <c r="J7" s="203">
        <v>8000</v>
      </c>
      <c r="L7" s="203">
        <v>8000</v>
      </c>
      <c r="N7" s="203">
        <v>8000</v>
      </c>
    </row>
    <row r="8">
      <c r="B8" s="200" t="s">
        <v>21</v>
      </c>
      <c r="C8" s="201" t="s">
        <v>160</v>
      </c>
      <c r="D8" s="202">
        <v>4000</v>
      </c>
      <c r="F8" s="203">
        <v>8000</v>
      </c>
      <c r="H8" s="203">
        <v>8000</v>
      </c>
      <c r="J8" s="203">
        <v>8000</v>
      </c>
      <c r="L8" s="203">
        <v>8000</v>
      </c>
      <c r="N8" s="203">
        <v>8000</v>
      </c>
    </row>
    <row r="9">
      <c r="B9" s="200" t="s">
        <v>15</v>
      </c>
      <c r="C9" s="201" t="s">
        <v>161</v>
      </c>
      <c r="D9" s="202">
        <v>8000</v>
      </c>
      <c r="F9" s="203">
        <v>8000</v>
      </c>
      <c r="H9" s="203">
        <v>8000</v>
      </c>
      <c r="J9" s="203">
        <v>8000</v>
      </c>
      <c r="L9" s="203">
        <v>8000</v>
      </c>
      <c r="N9" s="203">
        <v>8000</v>
      </c>
    </row>
    <row r="10">
      <c r="B10" s="200" t="s">
        <v>21</v>
      </c>
      <c r="C10" s="201" t="s">
        <v>161</v>
      </c>
      <c r="D10" s="202">
        <v>8000</v>
      </c>
      <c r="F10" s="203">
        <v>8000</v>
      </c>
      <c r="H10" s="203">
        <v>8000</v>
      </c>
      <c r="J10" s="203">
        <v>8000</v>
      </c>
      <c r="L10" s="203">
        <v>8000</v>
      </c>
      <c r="N10" s="203">
        <v>8000</v>
      </c>
    </row>
    <row r="11">
      <c r="B11" s="200" t="s">
        <v>9</v>
      </c>
      <c r="C11" s="201" t="s">
        <v>157</v>
      </c>
      <c r="D11" s="202">
        <v>42840</v>
      </c>
      <c r="F11" s="203">
        <v>9000</v>
      </c>
      <c r="H11" s="203">
        <v>9000</v>
      </c>
      <c r="J11" s="203">
        <v>9000</v>
      </c>
      <c r="L11" s="203">
        <v>9000</v>
      </c>
      <c r="N11" s="203">
        <v>9000</v>
      </c>
    </row>
    <row r="12">
      <c r="B12" s="200" t="s">
        <v>21</v>
      </c>
      <c r="C12" s="201" t="s">
        <v>162</v>
      </c>
      <c r="D12" s="202">
        <v>8000</v>
      </c>
      <c r="F12" s="203">
        <v>9000</v>
      </c>
      <c r="H12" s="203">
        <v>9000</v>
      </c>
      <c r="J12" s="203">
        <v>9000</v>
      </c>
      <c r="L12" s="203">
        <v>9000</v>
      </c>
      <c r="N12" s="203">
        <v>9000</v>
      </c>
    </row>
    <row r="13">
      <c r="B13" s="200" t="s">
        <v>21</v>
      </c>
      <c r="C13" s="201" t="s">
        <v>163</v>
      </c>
      <c r="D13" s="202">
        <v>48960</v>
      </c>
      <c r="F13" s="203">
        <v>10000</v>
      </c>
      <c r="H13" s="203">
        <v>10000</v>
      </c>
      <c r="J13" s="203">
        <v>10000</v>
      </c>
      <c r="L13" s="203">
        <v>10000</v>
      </c>
      <c r="N13" s="203">
        <v>10000</v>
      </c>
    </row>
    <row r="14">
      <c r="B14" s="200" t="s">
        <v>21</v>
      </c>
      <c r="C14" s="201" t="s">
        <v>45</v>
      </c>
      <c r="D14" s="202">
        <v>32640</v>
      </c>
      <c r="F14" s="203">
        <v>10000</v>
      </c>
      <c r="H14" s="203">
        <v>10000</v>
      </c>
      <c r="J14" s="203">
        <v>10000</v>
      </c>
      <c r="L14" s="203">
        <v>10000</v>
      </c>
      <c r="N14" s="203">
        <v>10000</v>
      </c>
    </row>
    <row r="15">
      <c r="B15" s="200" t="s">
        <v>6</v>
      </c>
      <c r="C15" s="201" t="s">
        <v>45</v>
      </c>
      <c r="D15" s="202">
        <v>35700</v>
      </c>
      <c r="F15" s="203">
        <v>12000</v>
      </c>
      <c r="H15" s="203">
        <v>12000</v>
      </c>
      <c r="J15" s="203">
        <v>12000</v>
      </c>
      <c r="L15" s="203">
        <v>12000</v>
      </c>
      <c r="N15" s="203">
        <v>12000</v>
      </c>
    </row>
    <row r="16">
      <c r="B16" s="200" t="s">
        <v>9</v>
      </c>
      <c r="C16" s="201" t="s">
        <v>154</v>
      </c>
      <c r="D16" s="202">
        <v>6000</v>
      </c>
      <c r="F16" s="203">
        <v>32640</v>
      </c>
      <c r="H16" s="203">
        <v>32640</v>
      </c>
      <c r="J16" s="203">
        <v>32640</v>
      </c>
      <c r="L16" s="203">
        <v>32640</v>
      </c>
      <c r="N16" s="203">
        <v>32640</v>
      </c>
    </row>
    <row r="17">
      <c r="B17" s="200" t="s">
        <v>6</v>
      </c>
      <c r="C17" s="201" t="s">
        <v>158</v>
      </c>
      <c r="D17" s="202">
        <v>10000</v>
      </c>
      <c r="F17" s="203">
        <v>32640</v>
      </c>
      <c r="H17" s="203">
        <v>32640</v>
      </c>
      <c r="J17" s="203">
        <v>32640</v>
      </c>
      <c r="L17" s="203">
        <v>32640</v>
      </c>
      <c r="N17" s="203">
        <v>32640</v>
      </c>
    </row>
    <row r="18">
      <c r="B18" s="200" t="s">
        <v>6</v>
      </c>
      <c r="C18" s="201" t="s">
        <v>163</v>
      </c>
      <c r="D18" s="202">
        <v>48960</v>
      </c>
      <c r="F18" s="203">
        <v>35700</v>
      </c>
      <c r="H18" s="203">
        <v>35700</v>
      </c>
      <c r="J18" s="203">
        <v>35700</v>
      </c>
      <c r="L18" s="203">
        <v>35700</v>
      </c>
      <c r="N18" s="203">
        <v>35700</v>
      </c>
    </row>
    <row r="19">
      <c r="B19" s="200" t="s">
        <v>15</v>
      </c>
      <c r="C19" s="201" t="s">
        <v>160</v>
      </c>
      <c r="D19" s="202">
        <v>4000</v>
      </c>
      <c r="F19" s="203">
        <v>35700</v>
      </c>
      <c r="H19" s="203">
        <v>35700</v>
      </c>
      <c r="J19" s="203">
        <v>35700</v>
      </c>
      <c r="L19" s="203">
        <v>35700</v>
      </c>
      <c r="N19" s="203">
        <v>35700</v>
      </c>
    </row>
    <row r="20">
      <c r="B20" s="200" t="s">
        <v>15</v>
      </c>
      <c r="C20" s="201" t="s">
        <v>164</v>
      </c>
      <c r="D20" s="202">
        <v>3000</v>
      </c>
      <c r="F20" s="203">
        <v>35700</v>
      </c>
      <c r="H20" s="203">
        <v>35700</v>
      </c>
      <c r="J20" s="203">
        <v>35700</v>
      </c>
      <c r="L20" s="203">
        <v>35700</v>
      </c>
      <c r="N20" s="203">
        <v>35700</v>
      </c>
    </row>
    <row r="21">
      <c r="B21" s="200" t="s">
        <v>15</v>
      </c>
      <c r="C21" s="201" t="s">
        <v>166</v>
      </c>
      <c r="D21" s="202">
        <v>9000</v>
      </c>
      <c r="F21" s="203">
        <v>42840</v>
      </c>
      <c r="H21" s="203">
        <v>42840</v>
      </c>
      <c r="J21" s="203">
        <v>42840</v>
      </c>
      <c r="L21" s="203">
        <v>42840</v>
      </c>
      <c r="N21" s="203">
        <v>42840</v>
      </c>
    </row>
    <row r="22">
      <c r="B22" s="200" t="s">
        <v>15</v>
      </c>
      <c r="C22" s="201" t="s">
        <v>166</v>
      </c>
      <c r="D22" s="202">
        <v>9000</v>
      </c>
      <c r="F22" s="203">
        <v>42840</v>
      </c>
      <c r="H22" s="203">
        <v>42840</v>
      </c>
      <c r="J22" s="203">
        <v>42840</v>
      </c>
      <c r="L22" s="203">
        <v>42840</v>
      </c>
      <c r="N22" s="203">
        <v>42840</v>
      </c>
    </row>
    <row r="23">
      <c r="B23" s="200" t="s">
        <v>21</v>
      </c>
      <c r="C23" s="201" t="s">
        <v>157</v>
      </c>
      <c r="D23" s="202">
        <v>35700</v>
      </c>
      <c r="F23" s="203">
        <v>48960</v>
      </c>
      <c r="H23" s="203">
        <v>48960</v>
      </c>
      <c r="J23" s="203">
        <v>48960</v>
      </c>
      <c r="L23" s="203">
        <v>48960</v>
      </c>
      <c r="N23" s="203">
        <v>48960</v>
      </c>
    </row>
    <row r="24">
      <c r="B24" s="204" t="s">
        <v>21</v>
      </c>
      <c r="C24" s="205" t="s">
        <v>162</v>
      </c>
      <c r="D24" s="206">
        <v>8000</v>
      </c>
      <c r="F24" s="203">
        <v>48960</v>
      </c>
      <c r="H24" s="203">
        <v>48960</v>
      </c>
      <c r="J24" s="203">
        <v>48960</v>
      </c>
      <c r="L24" s="203">
        <v>48960</v>
      </c>
      <c r="N24" s="203">
        <v>48960</v>
      </c>
    </row>
    <row r="26" s="1" customFormat="1">
      <c r="C26" s="1" t="s">
        <v>263</v>
      </c>
      <c r="D26" s="1" t="s">
        <v>264</v>
      </c>
      <c r="F26" s="1" t="s">
        <v>265</v>
      </c>
      <c r="H26" s="1" t="s">
        <v>266</v>
      </c>
      <c r="J26" s="1" t="s">
        <v>267</v>
      </c>
      <c r="L26" s="1" t="s">
        <v>268</v>
      </c>
      <c r="N26" s="1" t="s">
        <v>268</v>
      </c>
    </row>
    <row r="27">
      <c r="N27" t="s">
        <v>269</v>
      </c>
    </row>
  </sheetData>
  <conditionalFormatting sqref="C3:C24">
    <cfRule priority="1" dxfId="23" type="containsText" text="BASS">
      <formula>NOT(ISERROR(SEARCH("BASS",C3)))</formula>
    </cfRule>
    <cfRule priority="2" dxfId="23" type="containsText" text="Footwear">
      <formula>NOT(ISERROR(SEARCH("Footwear",C3)))</formula>
    </cfRule>
  </conditionalFormatting>
  <conditionalFormatting sqref="N3:N24">
    <cfRule priority="3" dxfId="24" type="cellIs" operator="between">
      <formula>16000</formula>
      <formula>40000</formula>
    </cfRule>
  </conditionalFormatting>
  <conditionalFormatting sqref="L3:L24">
    <cfRule priority="4" type="colorScale">
      <colorScale>
        <cfvo type="min"/>
        <cfvo type="num" val="0"/>
        <cfvo type="max"/>
        <color theme="4" tint="0.399975585192419"/>
        <color rgb="FF7030A0"/>
        <color rgb="FF00B050"/>
      </colorScale>
    </cfRule>
  </conditionalFormatting>
  <conditionalFormatting sqref="J2:J24">
    <cfRule priority="5" type="iconSet">
      <iconSet iconSet="3Arrows">
        <cfvo type="percent" val="0"/>
        <cfvo type="percent" val="33"/>
        <cfvo type="percent" val="67"/>
      </iconSet>
    </cfRule>
  </conditionalFormatting>
  <conditionalFormatting sqref="H3:H24">
    <cfRule priority="6" type="colorScale">
      <colorScale>
        <cfvo type="min"/>
        <cfvo type="percentile" val="50"/>
        <cfvo type="max"/>
        <color rgb="FFF8696B"/>
        <color rgb="FFFFEB84"/>
        <color rgb="FF63BE7B"/>
      </colorScale>
    </cfRule>
  </conditionalFormatting>
  <conditionalFormatting sqref="F3:F24">
    <cfRule priority="7" type="dataBar">
      <dataBar>
        <cfvo type="min"/>
        <cfvo type="max"/>
        <color rgb="FFD6007B"/>
      </dataBar>
      <extLst>
        <ext xmlns:x14="http://schemas.microsoft.com/office/spreadsheetml/2009/9/main" uri="{B025F937-C7B1-47D3-B67F-A62EFF666E3E}">
          <x14:id>{D6B9FF2E-70D2-4650-AC30-BF69D3248E47}</x14:id>
        </ext>
      </extLst>
    </cfRule>
  </conditionalFormatting>
  <conditionalFormatting sqref="D3:D24">
    <cfRule priority="8" dxfId="25" type="cellIs" operator="greaterThan">
      <formula>20000</formula>
    </cfRule>
  </conditionalFormatting>
  <tableParts count="1">
    <tablePart r:id="rId1"/>
  </tableParts>
  <extLst>
    <ext xmlns:x14="http://schemas.microsoft.com/office/spreadsheetml/2009/9/main" uri="{78C0D931-6437-407d-A8EE-F0AAD7539E65}">
      <x14:conditionalFormattings>
        <x14:conditionalFormatting xmlns:xm="http://schemas.microsoft.com/office/excel/2006/main">
          <x14:cfRule id="{D6B9FF2E-70D2-4650-AC30-BF69D3248E47}" type="dataBar">
            <x14:dataBar minLength="0" maxLength="100" border="1" negativeBarBorderColorSameAsPositive="0">
              <x14:cfvo type="autoMin"/>
              <x14:cfvo type="autoMax"/>
              <x14:borderColor rgb="FFD6007B"/>
              <x14:negativeFillColor rgb="FFFF0000"/>
              <x14:negativeBorderColor rgb="FFFF0000"/>
              <x14:axisColor rgb="FF000000"/>
            </x14:dataBar>
          </x14:cfRule>
          <xm:sqref>F3:F24</xm:sqref>
        </x14:conditionalFormatting>
      </x14:conditionalFormattings>
    </ext>
  </extLst>
</worksheet>
</file>

<file path=xl/worksheets/sheet21.xml><?xml version="1.0" encoding="utf-8"?>
<worksheet xmlns:r="http://schemas.openxmlformats.org/officeDocument/2006/relationships" xmlns="http://schemas.openxmlformats.org/spreadsheetml/2006/main">
  <sheetPr>
    <tabColor rgb="FFFF0000"/>
  </sheetPr>
  <sheetViews>
    <sheetView zoomScale="175" zoomScaleNormal="175" workbookViewId="0">
      <selection activeCell="H6" sqref="H6"/>
    </sheetView>
  </sheetViews>
  <sheetFormatPr defaultColWidth="10.5" defaultRowHeight="15.75"/>
  <cols>
    <col min="2" max="2" width="12.19922" customWidth="1"/>
  </cols>
  <sheetData>
    <row r="2" ht="21">
      <c r="B2" s="207" t="s">
        <v>270</v>
      </c>
      <c r="C2" s="208"/>
      <c r="D2" s="208"/>
      <c r="E2" s="208"/>
      <c r="F2" s="208"/>
      <c r="G2" s="209"/>
    </row>
    <row r="3" ht="15.6">
      <c r="B3" s="210" t="s">
        <v>271</v>
      </c>
      <c r="C3" s="211" t="s">
        <v>272</v>
      </c>
      <c r="D3" s="211" t="s">
        <v>273</v>
      </c>
      <c r="E3" s="211" t="s">
        <v>274</v>
      </c>
      <c r="F3" s="211" t="s">
        <v>275</v>
      </c>
      <c r="G3" s="212" t="s">
        <v>276</v>
      </c>
    </row>
    <row r="4" ht="15.6">
      <c r="B4" s="213" t="s">
        <v>277</v>
      </c>
      <c r="C4" s="214">
        <v>40000</v>
      </c>
      <c r="D4" s="214">
        <v>50000</v>
      </c>
      <c r="E4" s="214">
        <v>60000</v>
      </c>
      <c r="F4" s="214">
        <v>30000</v>
      </c>
      <c r="G4" s="215">
        <v>100000</v>
      </c>
    </row>
    <row r="5" ht="15.6">
      <c r="B5" s="213"/>
      <c r="C5" s="214"/>
      <c r="D5" s="214"/>
      <c r="E5" s="214"/>
      <c r="F5" s="214"/>
      <c r="G5" s="216"/>
    </row>
    <row r="6" ht="15.6">
      <c r="B6" s="213" t="s">
        <v>278</v>
      </c>
      <c r="C6" s="214">
        <v>30000</v>
      </c>
      <c r="D6" s="214">
        <v>35000</v>
      </c>
      <c r="E6" s="214"/>
      <c r="F6" s="214">
        <v>90000</v>
      </c>
      <c r="G6" s="215">
        <v>50000</v>
      </c>
    </row>
    <row r="7" ht="15.6">
      <c r="B7" s="213" t="s">
        <v>279</v>
      </c>
      <c r="C7" s="214">
        <v>40000</v>
      </c>
      <c r="D7" s="214">
        <v>80000</v>
      </c>
      <c r="E7" s="214">
        <v>100000</v>
      </c>
      <c r="F7" s="214">
        <v>50000</v>
      </c>
      <c r="G7" s="215"/>
    </row>
    <row r="8" ht="15.6">
      <c r="B8" s="217"/>
      <c r="C8" s="218"/>
      <c r="D8" s="218"/>
      <c r="E8" s="218"/>
      <c r="F8" s="218"/>
      <c r="G8" s="218"/>
    </row>
    <row r="9" ht="15.6">
      <c r="B9" s="219" t="s">
        <v>280</v>
      </c>
      <c r="C9" s="220">
        <v>50000</v>
      </c>
      <c r="D9" s="220">
        <v>60000</v>
      </c>
      <c r="E9" s="220">
        <v>30000</v>
      </c>
      <c r="F9" s="220"/>
      <c r="G9" s="221">
        <v>87494</v>
      </c>
    </row>
    <row r="10" ht="15.6">
      <c r="B10" s="213" t="s">
        <v>281</v>
      </c>
      <c r="C10" s="214">
        <v>60000</v>
      </c>
      <c r="D10" s="214">
        <v>120000</v>
      </c>
      <c r="E10" s="214">
        <v>30000</v>
      </c>
      <c r="F10" s="214">
        <v>45000</v>
      </c>
      <c r="G10" s="215">
        <v>50000</v>
      </c>
    </row>
    <row r="11" ht="15.6">
      <c r="B11" s="222"/>
      <c r="C11" s="216"/>
      <c r="D11" s="216"/>
      <c r="E11" s="216"/>
      <c r="F11" s="216"/>
      <c r="G11" s="216"/>
    </row>
    <row r="12" ht="15.6">
      <c r="B12" s="213" t="s">
        <v>282</v>
      </c>
      <c r="C12" s="214">
        <v>60000</v>
      </c>
      <c r="D12" s="214">
        <v>10000</v>
      </c>
      <c r="E12" s="214">
        <v>70000</v>
      </c>
      <c r="F12" s="214">
        <v>20000</v>
      </c>
      <c r="G12" s="215"/>
    </row>
    <row r="13" ht="15.6">
      <c r="B13" s="213" t="s">
        <v>283</v>
      </c>
      <c r="C13" s="214">
        <v>70000</v>
      </c>
      <c r="D13" s="214"/>
      <c r="E13" s="214">
        <v>30000</v>
      </c>
      <c r="F13" s="214">
        <v>80000</v>
      </c>
      <c r="G13" s="215">
        <v>20000</v>
      </c>
    </row>
    <row r="14" ht="15.6">
      <c r="B14" s="213" t="s">
        <v>284</v>
      </c>
      <c r="C14" s="218">
        <v>60000</v>
      </c>
      <c r="D14" s="218">
        <v>70000</v>
      </c>
      <c r="E14" s="218">
        <v>50000</v>
      </c>
      <c r="F14" s="218">
        <v>10000</v>
      </c>
      <c r="G14" s="218">
        <v>45000</v>
      </c>
    </row>
    <row r="16" ht="15.6">
      <c r="C16" s="223" t="s">
        <v>285</v>
      </c>
    </row>
    <row r="17" ht="15.6">
      <c r="C17" s="223" t="s">
        <v>286</v>
      </c>
    </row>
    <row r="18" ht="15.6">
      <c r="C18" s="223" t="s">
        <v>287</v>
      </c>
    </row>
    <row r="19" ht="15.6">
      <c r="C19" s="223" t="s">
        <v>288</v>
      </c>
    </row>
    <row r="20" ht="15.6">
      <c r="C20" s="223" t="s">
        <v>289</v>
      </c>
    </row>
  </sheetData>
  <mergeCells count="1">
    <mergeCell ref="B2:G2"/>
  </mergeCells>
  <tableParts count="1">
    <tablePart r:id="rId1"/>
  </tableParts>
</worksheet>
</file>

<file path=xl/worksheets/sheet22.xml><?xml version="1.0" encoding="utf-8"?>
<worksheet xmlns:r="http://schemas.openxmlformats.org/officeDocument/2006/relationships" xmlns="http://schemas.openxmlformats.org/spreadsheetml/2006/main">
  <sheetPr>
    <tabColor rgb="FF00B050"/>
  </sheetPr>
  <sheetViews>
    <sheetView zoomScale="85" zoomScaleNormal="85" workbookViewId="0" topLeftCell="G1">
      <selection activeCell="I2" sqref="I2:N11"/>
    </sheetView>
  </sheetViews>
  <sheetFormatPr defaultColWidth="8.699219" defaultRowHeight="30" customHeight="1"/>
  <cols>
    <col min="1" max="1" width="8.699219" style="225"/>
    <col min="2" max="2" width="27.09766" style="225" bestFit="1" customWidth="1"/>
    <col min="3" max="7" width="14.19922" style="225" bestFit="1" customWidth="1"/>
    <col min="8" max="8" width="8.699219" style="225"/>
    <col min="9" max="9" width="13.79688" style="225" bestFit="1" customWidth="1"/>
    <col min="10" max="14" width="11.5" style="225" bestFit="1" customWidth="1"/>
    <col min="15" max="16384" width="8.699219" style="225"/>
  </cols>
  <sheetData>
    <row r="2" ht="30" customHeight="1">
      <c r="B2" s="226" t="s">
        <v>290</v>
      </c>
      <c r="C2" s="227" t="s">
        <v>272</v>
      </c>
      <c r="D2" s="227" t="s">
        <v>273</v>
      </c>
      <c r="E2" s="227" t="s">
        <v>274</v>
      </c>
      <c r="F2" s="227" t="s">
        <v>275</v>
      </c>
      <c r="G2" s="228" t="s">
        <v>276</v>
      </c>
      <c r="I2" s="229" t="s">
        <v>155</v>
      </c>
      <c r="J2" s="201" t="s">
        <v>291</v>
      </c>
      <c r="K2" s="201" t="s">
        <v>292</v>
      </c>
      <c r="L2" s="201" t="s">
        <v>293</v>
      </c>
      <c r="M2" s="201" t="s">
        <v>294</v>
      </c>
      <c r="N2" s="201" t="s">
        <v>295</v>
      </c>
    </row>
    <row r="3" ht="30" customHeight="1">
      <c r="B3" s="230" t="s">
        <v>296</v>
      </c>
      <c r="C3" s="231">
        <v>40000</v>
      </c>
      <c r="D3" s="231">
        <v>50000</v>
      </c>
      <c r="E3" s="231">
        <v>60000</v>
      </c>
      <c r="F3" s="231">
        <v>30000</v>
      </c>
      <c r="G3" s="232">
        <v>100000</v>
      </c>
      <c r="I3" s="233" t="s">
        <v>296</v>
      </c>
      <c r="J3" s="201">
        <v>40000</v>
      </c>
      <c r="K3" s="201">
        <v>50000</v>
      </c>
      <c r="L3" s="201">
        <v>60000</v>
      </c>
      <c r="M3" s="201">
        <v>30000</v>
      </c>
      <c r="N3" s="201">
        <v>100000</v>
      </c>
    </row>
    <row r="4" ht="30" customHeight="1">
      <c r="B4" s="230" t="s">
        <v>297</v>
      </c>
      <c r="C4" s="231">
        <v>30000</v>
      </c>
      <c r="D4" s="231">
        <v>35000</v>
      </c>
      <c r="E4" s="231">
        <v>0</v>
      </c>
      <c r="F4" s="231">
        <v>90000</v>
      </c>
      <c r="G4" s="232">
        <v>50000</v>
      </c>
      <c r="I4" s="233" t="s">
        <v>159</v>
      </c>
      <c r="J4" s="201">
        <v>40000</v>
      </c>
      <c r="K4" s="201">
        <v>50000</v>
      </c>
      <c r="L4" s="201">
        <v>60000</v>
      </c>
      <c r="M4" s="201">
        <v>30000</v>
      </c>
      <c r="N4" s="201">
        <v>100000</v>
      </c>
    </row>
    <row r="5" ht="30" customHeight="1">
      <c r="B5" s="230" t="s">
        <v>298</v>
      </c>
      <c r="C5" s="231">
        <v>40000</v>
      </c>
      <c r="D5" s="231">
        <v>80000</v>
      </c>
      <c r="E5" s="231">
        <v>100000</v>
      </c>
      <c r="F5" s="231">
        <v>50000</v>
      </c>
      <c r="G5" s="232">
        <v>0</v>
      </c>
      <c r="I5"/>
      <c r="J5"/>
      <c r="K5"/>
      <c r="L5"/>
      <c r="M5"/>
      <c r="N5"/>
    </row>
    <row r="6" ht="30" customHeight="1">
      <c r="B6" s="230" t="s">
        <v>299</v>
      </c>
      <c r="C6" s="231">
        <v>50000</v>
      </c>
      <c r="D6" s="231">
        <v>60000</v>
      </c>
      <c r="E6" s="231">
        <v>30000</v>
      </c>
      <c r="F6" s="231">
        <v>0</v>
      </c>
      <c r="G6" s="232">
        <v>87494</v>
      </c>
      <c r="I6"/>
      <c r="J6"/>
      <c r="K6"/>
      <c r="L6"/>
      <c r="M6"/>
      <c r="N6"/>
    </row>
    <row r="7" ht="30" customHeight="1">
      <c r="B7" s="230" t="s">
        <v>300</v>
      </c>
      <c r="C7" s="231">
        <v>60000</v>
      </c>
      <c r="D7" s="231">
        <v>120000</v>
      </c>
      <c r="E7" s="231">
        <v>30000</v>
      </c>
      <c r="F7" s="231">
        <v>45000</v>
      </c>
      <c r="G7" s="232">
        <v>50000</v>
      </c>
      <c r="I7"/>
      <c r="J7"/>
      <c r="K7"/>
      <c r="L7"/>
      <c r="M7"/>
      <c r="N7"/>
    </row>
    <row r="8" ht="30" customHeight="1">
      <c r="B8" s="230" t="s">
        <v>301</v>
      </c>
      <c r="C8" s="231">
        <v>60000</v>
      </c>
      <c r="D8" s="231">
        <v>10000</v>
      </c>
      <c r="E8" s="231">
        <v>70000</v>
      </c>
      <c r="F8" s="231">
        <v>20000</v>
      </c>
      <c r="G8" s="232">
        <v>0</v>
      </c>
      <c r="I8"/>
      <c r="J8"/>
      <c r="K8"/>
      <c r="L8"/>
      <c r="M8"/>
      <c r="N8"/>
    </row>
    <row r="9" ht="30" customHeight="1">
      <c r="B9" s="230" t="s">
        <v>302</v>
      </c>
      <c r="C9" s="231">
        <v>70000</v>
      </c>
      <c r="D9" s="231">
        <v>0</v>
      </c>
      <c r="E9" s="231">
        <v>30000</v>
      </c>
      <c r="F9" s="231">
        <v>80000</v>
      </c>
      <c r="G9" s="232">
        <v>20000</v>
      </c>
      <c r="I9"/>
      <c r="J9"/>
      <c r="K9"/>
      <c r="L9"/>
      <c r="M9"/>
      <c r="N9"/>
    </row>
    <row r="10" ht="30" customHeight="1">
      <c r="B10" s="234" t="s">
        <v>303</v>
      </c>
      <c r="C10" s="235">
        <v>60000</v>
      </c>
      <c r="D10" s="235">
        <v>70000</v>
      </c>
      <c r="E10" s="235">
        <v>50000</v>
      </c>
      <c r="F10" s="235">
        <v>10000</v>
      </c>
      <c r="G10" s="236">
        <v>45000</v>
      </c>
      <c r="I10"/>
      <c r="J10"/>
      <c r="K10"/>
      <c r="L10"/>
      <c r="M10"/>
      <c r="N10"/>
    </row>
    <row r="11" ht="30" customHeight="1">
      <c r="I11"/>
      <c r="J11"/>
      <c r="K11"/>
      <c r="L11"/>
      <c r="M11"/>
      <c r="N11"/>
    </row>
    <row r="12" ht="30" customHeight="1">
      <c r="I12"/>
      <c r="J12"/>
      <c r="K12"/>
    </row>
    <row r="13" ht="30" customHeight="1">
      <c r="B13" s="237" t="s">
        <v>304</v>
      </c>
      <c r="C13" s="237"/>
      <c r="D13" s="237"/>
      <c r="E13" s="237"/>
      <c r="F13" s="237"/>
      <c r="G13" s="237"/>
      <c r="I13" s="237" t="s">
        <v>305</v>
      </c>
      <c r="J13" s="237"/>
      <c r="K13" s="237"/>
      <c r="L13" s="237"/>
      <c r="M13" s="237"/>
      <c r="N13" s="237"/>
      <c r="Q13" s="237" t="s">
        <v>306</v>
      </c>
      <c r="R13" s="237"/>
      <c r="S13" s="237"/>
      <c r="T13" s="237"/>
      <c r="U13" s="237"/>
      <c r="V13" s="237"/>
      <c r="W13" s="237"/>
      <c r="X13" s="237"/>
      <c r="Y13" s="237"/>
      <c r="Z13" s="237"/>
      <c r="AA13" s="237"/>
      <c r="AB13" s="237"/>
      <c r="AC13" s="237"/>
      <c r="AD13" s="237"/>
      <c r="AE13" s="237"/>
      <c r="AF13" s="237"/>
      <c r="AG13" s="237"/>
      <c r="AH13" s="237"/>
      <c r="AI13" s="237"/>
      <c r="AJ13" s="237"/>
      <c r="AK13" s="237"/>
      <c r="AL13" s="237"/>
      <c r="AM13" s="237"/>
      <c r="AN13" s="237"/>
    </row>
    <row r="14" ht="30" customHeight="1">
      <c r="I14"/>
      <c r="J14"/>
      <c r="K14"/>
    </row>
    <row r="15" ht="30" customHeight="1">
      <c r="I15"/>
      <c r="J15"/>
      <c r="K15"/>
    </row>
    <row r="16" ht="30" customHeight="1">
      <c r="I16"/>
      <c r="J16"/>
      <c r="K16"/>
    </row>
    <row r="17" ht="30" customHeight="1">
      <c r="I17"/>
      <c r="J17"/>
      <c r="K17"/>
    </row>
    <row r="18" ht="30" customHeight="1">
      <c r="I18"/>
      <c r="J18"/>
      <c r="K18"/>
    </row>
    <row r="19" ht="30" customHeight="1">
      <c r="I19"/>
      <c r="J19"/>
      <c r="K19"/>
    </row>
  </sheetData>
  <mergeCells count="3">
    <mergeCell ref="B13:G13"/>
    <mergeCell ref="I13:N13"/>
    <mergeCell ref="Q13:AN13"/>
  </mergeCells>
  <pageSetup r:id="rId2" paperSize="9" orientation="portrait"/>
  <tableParts count="1">
    <tablePart r:id="rId3"/>
  </tableParts>
</worksheet>
</file>

<file path=xl/worksheets/sheet23.xml><?xml version="1.0" encoding="utf-8"?>
<worksheet xmlns:r="http://schemas.openxmlformats.org/officeDocument/2006/relationships" xmlns="http://schemas.openxmlformats.org/spreadsheetml/2006/main">
  <sheetPr>
    <tabColor rgb="FFFF99FF"/>
  </sheetPr>
  <sheetViews>
    <sheetView showGridLines="0" zoomScale="51" zoomScaleNormal="70" workbookViewId="0" topLeftCell="A6">
      <selection activeCell="AG5" sqref="AG5"/>
    </sheetView>
  </sheetViews>
  <sheetFormatPr defaultColWidth="8.699219" defaultRowHeight="30" customHeight="1"/>
  <cols>
    <col min="1" max="16384" width="8.699219" style="2"/>
  </cols>
  <sheetData>
    <row r="3" s="2" customFormat="1" ht="30" customHeight="1"/>
  </sheetData>
  <pageSetup r:id="rId1" paperSize="9" orientation="portrait"/>
  <drawing r:id="rId2"/>
  <extLst>
    <ext xmlns:x14="http://schemas.microsoft.com/office/spreadsheetml/2009/9/main" uri="{A8765BA9-456A-4dab-B4F3-ACF838C121DE}">
      <x14:slicerList>
        <x14:slicer r:id="rId3"/>
      </x14:slicerList>
    </ext>
  </extLst>
</worksheet>
</file>

<file path=customXml/_rels/item1.xml.rels>&#65279;<?xml version="1.0" encoding="utf-8"?><Relationships xmlns="http://schemas.openxmlformats.org/package/2006/relationships"><Relationship Id="rId1" Type="http://schemas.openxmlformats.org/officeDocument/2006/relationships/customXmlProps" Target="itemProps1.xml" /></Relationships>
</file>

<file path=customXml/item1.xml><?xml version="1.0" encoding="utf-8"?>
<DataMashup xmlns="http://schemas.microsoft.com/DataMashup">AAAAACcFAABQSwMEFAACAAgALWhOW6L2K5CmAAAA9gAAABIAHABDb25maWcvUGFja2FnZS54bWwgohgAKKAUAAAAAAAAAAAAAAAAAAAAAAAAAAAAhY9BDoIwFESvQrqnLaDRkE9ZuDIRY2Ji3DZYoRE+hhbL3Vx4JK8gRlF3LufNW8zcrzdI+7ryLqo1usGEBJQTT2HeHDQWCens0Z+TVMBG5idZKG+Q0cS9OSSktPYcM+acoy6iTVuwkPOA7bPVNi9VLclH1v9lX6OxEnNFBOxeY0RIg8mMTnlEObARQqbxK4TD3mf7A2HRVbZrlVDoL9fAxgjs/UE8AFBLAwQUAAIACAAtaE5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LWhOWxwap7wfAgAA0goAABMAHABGb3JtdWxhcy9TZWN0aW9uMS5tIKIYACigFAAAAAAAAAAAAAAAAAAAAAAAAAAAAO1UUWvbMBB+D+Q/CBeGDcZUXtoNRh7S0LHAOkoctocQgmpfGhNZCpK8JQT/98mxndqO3aalD32IX4y+O9139+nuJPgq5Ax52R9/63a6HbkkAgI0IQ8UvqA+oqC6HaQ/j8fCB43cbnygzjAWApj6w8XqgfOVae2mv0gEfSO7acyS6ZAzpV1mdhbgwhguCXtMg2/XYOhIe1dnIgiTCy6iIadxxFKjNDM2e7czMhQbNlLaghRsVGKjAnc1PmLquuek90qGz22GXpvhqs1wXTUk1qGgQRDocu4FLMJNa0HSrFWuI5fLAuIvkTEZ3DgG+oTm5TpLVPeCR1zpED+ABCDkE11uyXGzlpWNprnDgFLPJ5QI2VcihpnV+C74hYdpyCR9pTR9j1CQiC/QVxRBEPoh00fiCy4lukJbIKnvB3zFekH4GW2rUr1WXPfV4uKDuneFpEcaupe4QUCNNqin0QbpNNqgm0aPROt2QtZc2fH2mOO37485fr8N8nHUO9Qxhoj/1XXcUMJWaMz/lebZA6oXcoodL479rmBcoZ+hVM5I3kZrtTX3hyzkHVH+MmSPIwWRNMfgcxE430OgwW9CYy3L3EqT06FYTGliWeWc1pT4mmvv+ZRPju9RszF1O41lX9q5p6hcsXMxkzYm/AxVJaMTaHrtNO6JNPhFnno/FS1UNE3RJkVjZK1QnZ16buXpuTjMADJdyzgP0XmIzkN00hD9B1BLAQItABQAAgAIAC1oTlui9iuQpgAAAPYAAAASAAAAAAAAAAAAAAAAAAAAAABDb25maWcvUGFja2FnZS54bWxQSwECLQAUAAIACAAtaE5bD8rpq6QAAADpAAAAEwAAAAAAAAAAAAAAAADyAAAAW0NvbnRlbnRfVHlwZXNdLnhtbFBLAQItABQAAgAIAC1oTlscGqe8HwIAANIKAAATAAAAAAAAAAAAAAAAAOMBAABGb3JtdWxhcy9TZWN0aW9uMS5tUEsFBgAAAAADAAMAwgAAAE8EAAAAABABAADvu788P3htbCB2ZXJzaW9uPSIxLjAiIGVuY29kaW5nPSJ1dGYtOCI/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m4lAAAAAAAATCUAAO+7vzw/eG1sIHZlcnNpb249IjEuMCIgZW5jb2Rpbmc9InV0Zi04Ij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El0ZW0+PEl0ZW1Mb2NhdGlvbj48SXRlbVR5cGU+Rm9ybXVsYTwvSXRlbVR5cGU+PEl0ZW1QYXRoPlNlY3Rpb24xL1RhYmxlNzwvSXRlbVBhdGg+PC9JdGVtTG9jYXRpb24+PFN0YWJsZUVudHJpZXM+PEVudHJ5IFR5cGU9IklzUHJpdmF0ZSIgVmFsdWU9ImwwIiAvPjxFbnRyeSBUeXBlPSJRdWVyeUlEIiBWYWx1ZT0iczIzNTM2YzBmLTliZGQtNDljYi1iMTg4LTZhN2FkNGU1YWE1NiIgLz48RW50cnkgVHlwZT0iRmlsbEVuYWJsZWQiIFZhbHVlPSJsMCIgLz48RW50cnkgVHlwZT0iRmlsbE9iamVjdFR5cGUiIFZhbHVlPSJzQ29ubmVjdGlvbk9ubHkiIC8+PEVudHJ5IFR5cGU9IkZpbGxUb0RhdGFNb2RlbEVuYWJsZWQiIFZhbHVlPSJsMCIgLz48RW50cnkgVHlwZT0iTmF2aWdhdGlvblN0ZXBOYW1lIiBWYWx1ZT0ic05hdmlnYXRpb24iIC8+PEVudHJ5IFR5cGU9Ik5hbWVVcGRhdGVkQWZ0ZXJGaWxsIiBWYWx1ZT0ibDAiIC8+PEVudHJ5IFR5cGU9IlJlc3VsdFR5cGUiIFZhbHVlPSJzRXhjZXB0aW9uIiAvPjxFbnRyeSBUeXBlPSJCdWZmZXJOZXh0UmVmcmVzaCIgVmFsdWU9ImwxIiAvPjxFbnRyeSBUeXBlPSJGaWxsZWRDb21wbGV0ZVJlc3VsdFRvV29ya3NoZWV0IiBWYWx1ZT0ibDEiIC8+PEVudHJ5IFR5cGU9IkFkZGVkVG9EYXRhTW9kZWwiIFZhbHVlPSJsMCIgLz48RW50cnkgVHlwZT0iRmlsbENvdW50IiBWYWx1ZT0ibDExIiAvPjxFbnRyeSBUeXBlPSJGaWxsRXJyb3JDb2RlIiBWYWx1ZT0ic1Vua25vd24iIC8+PEVudHJ5IFR5cGU9IkZpbGxFcnJvckNvdW50IiBWYWx1ZT0ibDAiIC8+PEVudHJ5IFR5cGU9IkZpbGxMYXN0VXBkYXRlZCIgVmFsdWU9ImQyMDI1LTEwLTEzVDE1OjU1OjI3LjQ2MjkxNjRaIiAvPjxFbnRyeSBUeXBlPSJGaWxsQ29sdW1uVHlwZXMiIFZhbHVlPSJzQmdNREF3TUQiIC8+PEVudHJ5IFR5cGU9IkZpbGxDb2x1bW5OYW1lcyIgVmFsdWU9InNbJnF1b3Q7VEFCLk1lZGljaW5lcyZxdW90OywmcXVvdDsyMDEyJnF1b3Q7LCZxdW90OzIwMTMmcXVvdDssJnF1b3Q7MjAxNCZxdW90OywmcXVvdDsyMDE1JnF1b3Q7LCZxdW90OzIwMTYmcXVvdDtdIiAvPjxFbnRyeSBUeXBlPSJGaWxsU3RhdHVzIiBWYWx1ZT0ic0NvbXBsZXRlIiAvPjxFbnRyeSBUeXBlPSJSZWxhdGlvbnNoaXBJbmZvQ29udGFpbmVyIiBWYWx1ZT0ic3smcXVvdDtjb2x1bW5Db3VudCZxdW90Ozo2LCZxdW90O2tleUNvbHVtbk5hbWVzJnF1b3Q7OltdLCZxdW90O3F1ZXJ5UmVsYXRpb25zaGlwcyZxdW90OzpbXSwmcXVvdDtjb2x1bW5JZGVudGl0aWVzJnF1b3Q7OlsmcXVvdDtTZWN0aW9uMS9UYWJsZTcvQXV0b1JlbW92ZWRDb2x1bW5zMS57VEFCLk1lZGljaW5lcywwfSZxdW90OywmcXVvdDtTZWN0aW9uMS9UYWJsZTcvQXV0b1JlbW92ZWRDb2x1bW5zMS57MjAxMiwxfSZxdW90OywmcXVvdDtTZWN0aW9uMS9UYWJsZTcvQXV0b1JlbW92ZWRDb2x1bW5zMS57MjAxMywyfSZxdW90OywmcXVvdDtTZWN0aW9uMS9UYWJsZTcvQXV0b1JlbW92ZWRDb2x1bW5zMS57MjAxNCwzfSZxdW90OywmcXVvdDtTZWN0aW9uMS9UYWJsZTcvQXV0b1JlbW92ZWRDb2x1bW5zMS57MjAxNSw0fSZxdW90OywmcXVvdDtTZWN0aW9uMS9UYWJsZTcvQXV0b1JlbW92ZWRDb2x1bW5zMS57MjAxNiw1fSZxdW90O10sJnF1b3Q7Q29sdW1uQ291bnQmcXVvdDs6NiwmcXVvdDtLZXlDb2x1bW5OYW1lcyZxdW90OzpbXSwmcXVvdDtDb2x1bW5JZGVudGl0aWVzJnF1b3Q7OlsmcXVvdDtTZWN0aW9uMS9UYWJsZTcvQXV0b1JlbW92ZWRDb2x1bW5zMS57VEFCLk1lZGljaW5lcywwfSZxdW90OywmcXVvdDtTZWN0aW9uMS9UYWJsZTcvQXV0b1JlbW92ZWRDb2x1bW5zMS57MjAxMiwxfSZxdW90OywmcXVvdDtTZWN0aW9uMS9UYWJsZTcvQXV0b1JlbW92ZWRDb2x1bW5zMS57MjAxMywyfSZxdW90OywmcXVvdDtTZWN0aW9uMS9UYWJsZTcvQXV0b1JlbW92ZWRDb2x1bW5zMS57MjAxNCwzfSZxdW90OywmcXVvdDtTZWN0aW9uMS9UYWJsZTcvQXV0b1JlbW92ZWRDb2x1bW5zMS57MjAxNSw0fSZxdW90OywmcXVvdDtTZWN0aW9uMS9UYWJsZTcvQXV0b1JlbW92ZWRDb2x1bW5zMS57MjAxNiw1fSZxdW90O10sJnF1b3Q7UmVsYXRpb25zaGlwSW5mbyZxdW90OzpbXX0iIC8+PC9TdGFibGVFbnRyaWVzPjwvSXRlbT48SXRlbT48SXRlbUxvY2F0aW9uPjxJdGVtVHlwZT5Gb3JtdWxhPC9JdGVtVHlwZT48SXRlbVBhdGg+U2VjdGlvbjEvVGFibGU3L1NvdXJjZTwvSXRlbVBhdGg+PC9JdGVtTG9jYXRpb24+PFN0YWJsZUVudHJpZXMgLz48L0l0ZW0+PEl0ZW0+PEl0ZW1Mb2NhdGlvbj48SXRlbVR5cGU+Rm9ybXVsYTwvSXRlbVR5cGU+PEl0ZW1QYXRoPlNlY3Rpb24xL1RhYmxlNy9DaGFuZ2VkJTIwVHlwZTwvSXRlbVBhdGg+PC9JdGVtTG9jYXRpb24+PFN0YWJsZUVudHJpZXMgLz48L0l0ZW0+PEl0ZW0+PEl0ZW1Mb2NhdGlvbj48SXRlbVR5cGU+Rm9ybXVsYTwvSXRlbVR5cGU+PEl0ZW1QYXRoPlNlY3Rpb24xL1RhYmxlNy9BZGRlZCUyMFByZWZpeDwvSXRlbVBhdGg+PC9JdGVtTG9jYXRpb24+PFN0YWJsZUVudHJpZXMgLz48L0l0ZW0+PEl0ZW0+PEl0ZW1Mb2NhdGlvbj48SXRlbVR5cGU+Rm9ybXVsYTwvSXRlbVR5cGU+PEl0ZW1QYXRoPlNlY3Rpb24xL1RhYmxlNy9Qcm9tb3RlZCUyMEhlYWRlcnM8L0l0ZW1QYXRoPjwvSXRlbUxvY2F0aW9uPjxTdGFibGVFbnRyaWVzIC8+PC9JdGVtPjxJdGVtPjxJdGVtTG9jYXRpb24+PEl0ZW1UeXBlPkZvcm11bGE8L0l0ZW1UeXBlPjxJdGVtUGF0aD5TZWN0aW9uMS9UYWJsZTcvQ2hhbmdlZCUyMFR5cGUxPC9JdGVtUGF0aD48L0l0ZW1Mb2NhdGlvbj48U3RhYmxlRW50cmllcyAvPjwvSXRlbT48SXRlbT48SXRlbUxvY2F0aW9uPjxJdGVtVHlwZT5Gb3JtdWxhPC9JdGVtVHlwZT48SXRlbVBhdGg+U2VjdGlvbjEvVGFibGU3L1Byb21vdGVkJTIwSGVhZGVyczE8L0l0ZW1QYXRoPjwvSXRlbUxvY2F0aW9uPjxTdGFibGVFbnRyaWVzIC8+PC9JdGVtPjxJdGVtPjxJdGVtTG9jYXRpb24+PEl0ZW1UeXBlPkZvcm11bGE8L0l0ZW1UeXBlPjxJdGVtUGF0aD5TZWN0aW9uMS9UYWJsZTcvQ2hhbmdlZCUyMFR5cGUyPC9JdGVtUGF0aD48L0l0ZW1Mb2NhdGlvbj48U3RhYmxlRW50cmllcyAvPjwvSXRlbT48SXRlbT48SXRlbUxvY2F0aW9uPjxJdGVtVHlwZT5Gb3JtdWxhPC9JdGVtVHlwZT48SXRlbVBhdGg+U2VjdGlvbjEvVGFibGU3XzE8L0l0ZW1QYXRoPjwvSXRlbUxvY2F0aW9uPjxTdGFibGVFbnRyaWVzPjxFbnRyeSBUeXBlPSJJc1ByaXZhdGUiIFZhbHVlPSJsMCIgLz48RW50cnkgVHlwZT0iUXVlcnlJRCIgVmFsdWU9InMyNjQ0YmMxYS0yZWFlLTRmMGEtODljOS00ZDk1MGIyODA2MzUiIC8+PEVudHJ5IFR5cGU9IkZpbGxFbmFibGVkIiBWYWx1ZT0ibDEiIC8+PEVudHJ5IFR5cGU9IkZpbGxPYmplY3RUeXBlIiBWYWx1ZT0ic1RhYmxlIiAvPjxFbnRyeSBUeXBlPSJGaWxsVG9EYXRhTW9kZWxFbmFibGVkIiBWYWx1ZT0ibDAiIC8+PEVudHJ5IFR5cGU9Ik5hdmlnYXRpb25TdGVwTmFtZSIgVmFsdWU9InNOYXZpZ2F0aW9uIiAvPjxFbnRyeSBUeXBlPSJOYW1lVXBkYXRlZEFmdGVyRmlsbCIgVmFsdWU9ImwwIiAvPjxFbnRyeSBUeXBlPSJSZXN1bHRUeXBlIiBWYWx1ZT0ic0V4Y2VwdGlvbiIgLz48RW50cnkgVHlwZT0iQnVmZmVyTmV4dFJlZnJlc2giIFZhbHVlPSJsMSIgLz48RW50cnkgVHlwZT0iRmlsbFRhcmdldCIgVmFsdWU9InNUYWJsZTdfMiIgLz48RW50cnkgVHlwZT0iRmlsbGVkQ29tcGxldGVSZXN1bHRUb1dvcmtzaGVldCIgVmFsdWU9ImwxIiAvPjxFbnRyeSBUeXBlPSJBZGRlZFRvRGF0YU1vZGVsIiBWYWx1ZT0ibDAiIC8+PEVudHJ5IFR5cGU9IkZpbGxDb3VudCIgVmFsdWU9Imw4IiAvPjxFbnRyeSBUeXBlPSJGaWxsRXJyb3JDb2RlIiBWYWx1ZT0ic1Vua25vd24iIC8+PEVudHJ5IFR5cGU9IkZpbGxFcnJvckNvdW50IiBWYWx1ZT0ibDAiIC8+PEVudHJ5IFR5cGU9IkZpbGxMYXN0VXBkYXRlZCIgVmFsdWU9ImQyMDI1LTEwLTEzVDE2OjA1OjQzLjI3NzI4ODVaIiAvPjxFbnRyeSBUeXBlPSJGaWxsQ29sdW1uVHlwZXMiIFZhbHVlPSJzQUFVRkJRVUYiIC8+PEVudHJ5IFR5cGU9IkZpbGxDb2x1bW5OYW1lcyIgVmFsdWU9InNbJnF1b3Q7VEFCLk1lZGljaW5lcyZxdW90OywmcXVvdDsyMDEyJnF1b3Q7LCZxdW90OzIwMTMmcXVvdDssJnF1b3Q7MjAxNCZxdW90OywmcXVvdDsyMDE1JnF1b3Q7LCZxdW90OzIwMTYmcXVvdDtdIiAvPjxFbnRyeSBUeXBlPSJGaWxsU3RhdHVzIiBWYWx1ZT0ic0NvbXBsZXRlIiAvPjxFbnRyeSBUeXBlPSJSZWxhdGlvbnNoaXBJbmZvQ29udGFpbmVyIiBWYWx1ZT0ic3smcXVvdDtjb2x1bW5Db3VudCZxdW90Ozo2LCZxdW90O2tleUNvbHVtbk5hbWVzJnF1b3Q7OltdLCZxdW90O3F1ZXJ5UmVsYXRpb25zaGlwcyZxdW90OzpbXSwmcXVvdDtjb2x1bW5JZGVudGl0aWVzJnF1b3Q7OlsmcXVvdDtTZWN0aW9uMS9UYWJsZTdfMS9BdXRvUmVtb3ZlZENvbHVtbnMxLntUQUIuTWVkaWNpbmVzLDB9JnF1b3Q7LCZxdW90O1NlY3Rpb24xL1RhYmxlN18xL0F1dG9SZW1vdmVkQ29sdW1uczEuezIwMTIsMX0mcXVvdDssJnF1b3Q7U2VjdGlvbjEvVGFibGU3XzEvQXV0b1JlbW92ZWRDb2x1bW5zMS57MjAxMywyfSZxdW90OywmcXVvdDtTZWN0aW9uMS9UYWJsZTdfMS9BdXRvUmVtb3ZlZENvbHVtbnMxLnsyMDE0LDN9JnF1b3Q7LCZxdW90O1NlY3Rpb24xL1RhYmxlN18xL0F1dG9SZW1vdmVkQ29sdW1uczEuezIwMTUsNH0mcXVvdDssJnF1b3Q7U2VjdGlvbjEvVGFibGU3XzEvQXV0b1JlbW92ZWRDb2x1bW5zMS57MjAxNiw1fSZxdW90O10sJnF1b3Q7Q29sdW1uQ291bnQmcXVvdDs6NiwmcXVvdDtLZXlDb2x1bW5OYW1lcyZxdW90OzpbXSwmcXVvdDtDb2x1bW5JZGVudGl0aWVzJnF1b3Q7OlsmcXVvdDtTZWN0aW9uMS9UYWJsZTdfMS9BdXRvUmVtb3ZlZENvbHVtbnMxLntUQUIuTWVkaWNpbmVzLDB9JnF1b3Q7LCZxdW90O1NlY3Rpb24xL1RhYmxlN18xL0F1dG9SZW1vdmVkQ29sdW1uczEuezIwMTIsMX0mcXVvdDssJnF1b3Q7U2VjdGlvbjEvVGFibGU3XzEvQXV0b1JlbW92ZWRDb2x1bW5zMS57MjAxMywyfSZxdW90OywmcXVvdDtTZWN0aW9uMS9UYWJsZTdfMS9BdXRvUmVtb3ZlZENvbHVtbnMxLnsyMDE0LDN9JnF1b3Q7LCZxdW90O1NlY3Rpb24xL1RhYmxlN18xL0F1dG9SZW1vdmVkQ29sdW1uczEuezIwMTUsNH0mcXVvdDssJnF1b3Q7U2VjdGlvbjEvVGFibGU3XzEvQXV0b1JlbW92ZWRDb2x1bW5zMS57MjAxNiw1fSZxdW90O10sJnF1b3Q7UmVsYXRpb25zaGlwSW5mbyZxdW90OzpbXX0iIC8+PC9TdGFibGVFbnRyaWVzPjwvSXRlbT48SXRlbT48SXRlbUxvY2F0aW9uPjxJdGVtVHlwZT5Gb3JtdWxhPC9JdGVtVHlwZT48SXRlbVBhdGg+U2VjdGlvbjEvVGFibGU3XzEvU291cmNlPC9JdGVtUGF0aD48L0l0ZW1Mb2NhdGlvbj48U3RhYmxlRW50cmllcyAvPjwvSXRlbT48SXRlbT48SXRlbUxvY2F0aW9uPjxJdGVtVHlwZT5Gb3JtdWxhPC9JdGVtVHlwZT48SXRlbVBhdGg+U2VjdGlvbjEvVGFibGU3XzEvQ2hhbmdlZCUyMFR5cGU8L0l0ZW1QYXRoPjwvSXRlbUxvY2F0aW9uPjxTdGFibGVFbnRyaWVzIC8+PC9JdGVtPjxJdGVtPjxJdGVtTG9jYXRpb24+PEl0ZW1UeXBlPkZvcm11bGE8L0l0ZW1UeXBlPjxJdGVtUGF0aD5TZWN0aW9uMS9UYWJsZTdfMS9SZW1vdmVkJTIwQmxhbmslMjBSb3dzPC9JdGVtUGF0aD48L0l0ZW1Mb2NhdGlvbj48U3RhYmxlRW50cmllcyAvPjwvSXRlbT48SXRlbT48SXRlbUxvY2F0aW9uPjxJdGVtVHlwZT5Gb3JtdWxhPC9JdGVtVHlwZT48SXRlbVBhdGg+U2VjdGlvbjEvVGFibGU3XzEvUmVwbGFjZWQlMjBWYWx1ZTwvSXRlbVBhdGg+PC9JdGVtTG9jYXRpb24+PFN0YWJsZUVudHJpZXMgLz48L0l0ZW0+PEl0ZW0+PEl0ZW1Mb2NhdGlvbj48SXRlbVR5cGU+Rm9ybXVsYTwvSXRlbVR5cGU+PEl0ZW1QYXRoPlNlY3Rpb24xL1RhYmxlN18xL1JlcGxhY2VkJTIwVmFsdWUxPC9JdGVtUGF0aD48L0l0ZW1Mb2NhdGlvbj48U3RhYmxlRW50cmllcyAvPjwvSXRlbT48SXRlbT48SXRlbUxvY2F0aW9uPjxJdGVtVHlwZT5Gb3JtdWxhPC9JdGVtVHlwZT48SXRlbVBhdGg+U2VjdGlvbjEvVGFibGU3XzEvUmVwbGFjZWQlMjBWYWx1ZTI8L0l0ZW1QYXRoPjwvSXRlbUxvY2F0aW9uPjxTdGFibGVFbnRyaWVzIC8+PC9JdGVtPjxJdGVtPjxJdGVtTG9jYXRpb24+PEl0ZW1UeXBlPkZvcm11bGE8L0l0ZW1UeXBlPjxJdGVtUGF0aD5TZWN0aW9uMS9UYWJsZTdfMSUyMCgyKTwvSXRlbVBhdGg+PC9JdGVtTG9jYXRpb24+PFN0YWJsZUVudHJpZXM+PEVudHJ5IFR5cGU9IklzUHJpdmF0ZSIgVmFsdWU9ImwwIiAvPjxFbnRyeSBUeXBlPSJRdWVyeUlEIiBWYWx1ZT0iczI1ZGJiOWUzLWVhODItNGQ3Yy1hNjhlLTI3NDIwM2JjNDI1ZiIgLz48RW50cnkgVHlwZT0iRmlsbEVuYWJsZWQiIFZhbHVlPSJsMCIgLz48RW50cnkgVHlwZT0iRmlsbE9iamVjdFR5cGUiIFZhbHVlPSJzQ29ubmVjdGlvbk9ubHkiIC8+PEVudHJ5IFR5cGU9IkZpbGxUb0RhdGFNb2RlbEVuYWJsZWQiIFZhbHVlPSJsMCIgLz48RW50cnkgVHlwZT0iQnVmZmVyTmV4dFJlZnJlc2giIFZhbHVlPSJsMSIgLz48RW50cnkgVHlwZT0iUmVzdWx0VHlwZSIgVmFsdWU9InNFeGNlcHRpb24iIC8+PEVudHJ5IFR5cGU9Ik5hdmlnYXRpb25TdGVwTmFtZSIgVmFsdWU9InNOYXZpZ2F0aW9uIiAvPjxFbnRyeSBUeXBlPSJGaWxsZWRDb21wbGV0ZVJlc3VsdFRvV29ya3NoZWV0IiBWYWx1ZT0ibDEiIC8+PEVudHJ5IFR5cGU9IkZpbGxFcnJvckNvZGUiIFZhbHVlPSJzVW5rbm93biIgLz48RW50cnkgVHlwZT0iRmlsbEVycm9yQ291bnQiIFZhbHVlPSJsMCIgLz48RW50cnkgVHlwZT0iRmlsbExhc3RVcGRhdGVkIiBWYWx1ZT0iZDIwMjUtMTAtMTNUMTY6MDU6NDMuMjc3Mjg4NVoiIC8+PEVudHJ5IFR5cGU9IkZpbGxDb2x1bW5UeXBlcyIgVmFsdWU9InNBQVVGQlFVRiIgLz48RW50cnkgVHlwZT0iRmlsbENvbHVtbk5hbWVzIiBWYWx1ZT0ic1smcXVvdDtUQUIuTWVkaWNpbmVzJnF1b3Q7LCZxdW90OzIwMTImcXVvdDssJnF1b3Q7MjAxMyZxdW90OywmcXVvdDsyMDE0JnF1b3Q7LCZxdW90OzIwMTUmcXVvdDssJnF1b3Q7MjAxNiZxdW90O10iIC8+PEVudHJ5IFR5cGU9IkZpbGxTdGF0dXMiIFZhbHVlPSJzQ29tcGxldGUiIC8+PEVudHJ5IFR5cGU9IkZpbGxDb3VudCIgVmFsdWU9Imw4IiAvPjxFbnRyeSBUeXBlPSJSZWxhdGlvbnNoaXBJbmZvQ29udGFpbmVyIiBWYWx1ZT0ic3smcXVvdDtjb2x1bW5Db3VudCZxdW90Ozo2LCZxdW90O2tleUNvbHVtbk5hbWVzJnF1b3Q7OltdLCZxdW90O3F1ZXJ5UmVsYXRpb25zaGlwcyZxdW90OzpbXSwmcXVvdDtjb2x1bW5JZGVudGl0aWVzJnF1b3Q7OlsmcXVvdDtTZWN0aW9uMS9UYWJsZTdfMS9BdXRvUmVtb3ZlZENvbHVtbnMxLntUQUIuTWVkaWNpbmVzLDB9JnF1b3Q7LCZxdW90O1NlY3Rpb24xL1RhYmxlN18xL0F1dG9SZW1vdmVkQ29sdW1uczEuezIwMTIsMX0mcXVvdDssJnF1b3Q7U2VjdGlvbjEvVGFibGU3XzEvQXV0b1JlbW92ZWRDb2x1bW5zMS57MjAxMywyfSZxdW90OywmcXVvdDtTZWN0aW9uMS9UYWJsZTdfMS9BdXRvUmVtb3ZlZENvbHVtbnMxLnsyMDE0LDN9JnF1b3Q7LCZxdW90O1NlY3Rpb24xL1RhYmxlN18xL0F1dG9SZW1vdmVkQ29sdW1uczEuezIwMTUsNH0mcXVvdDssJnF1b3Q7U2VjdGlvbjEvVGFibGU3XzEvQXV0b1JlbW92ZWRDb2x1bW5zMS57MjAxNiw1fSZxdW90O10sJnF1b3Q7Q29sdW1uQ291bnQmcXVvdDs6NiwmcXVvdDtLZXlDb2x1bW5OYW1lcyZxdW90OzpbXSwmcXVvdDtDb2x1bW5JZGVudGl0aWVzJnF1b3Q7OlsmcXVvdDtTZWN0aW9uMS9UYWJsZTdfMS9BdXRvUmVtb3ZlZENvbHVtbnMxLntUQUIuTWVkaWNpbmVzLDB9JnF1b3Q7LCZxdW90O1NlY3Rpb24xL1RhYmxlN18xL0F1dG9SZW1vdmVkQ29sdW1uczEuezIwMTIsMX0mcXVvdDssJnF1b3Q7U2VjdGlvbjEvVGFibGU3XzEvQXV0b1JlbW92ZWRDb2x1bW5zMS57MjAxMywyfSZxdW90OywmcXVvdDtTZWN0aW9uMS9UYWJsZTdfMS9BdXRvUmVtb3ZlZENvbHVtbnMxLnsyMDE0LDN9JnF1b3Q7LCZxdW90O1NlY3Rpb24xL1RhYmxlN18xL0F1dG9SZW1vdmVkQ29sdW1uczEuezIwMTUsNH0mcXVvdDssJnF1b3Q7U2VjdGlvbjEvVGFibGU3XzEvQXV0b1JlbW92ZWRDb2x1bW5zMS57MjAxNiw1fSZxdW90O10sJnF1b3Q7UmVsYXRpb25zaGlwSW5mbyZxdW90OzpbXX0iIC8+PEVudHJ5IFR5cGU9IkxvYWRlZFRvQW5hbHlzaXNTZXJ2aWNlcyIgVmFsdWU9ImwwIiAvPjxFbnRyeSBUeXBlPSJBZGRlZFRvRGF0YU1vZGVsIiBWYWx1ZT0ibDAiIC8+PC9TdGFibGVFbnRyaWVzPjwvSXRlbT48SXRlbT48SXRlbUxvY2F0aW9uPjxJdGVtVHlwZT5Gb3JtdWxhPC9JdGVtVHlwZT48SXRlbVBhdGg+U2VjdGlvbjEvVGFibGU3XzElMjAoMikvU291cmNlPC9JdGVtUGF0aD48L0l0ZW1Mb2NhdGlvbj48U3RhYmxlRW50cmllcyAvPjwvSXRlbT48SXRlbT48SXRlbUxvY2F0aW9uPjxJdGVtVHlwZT5Gb3JtdWxhPC9JdGVtVHlwZT48SXRlbVBhdGg+U2VjdGlvbjEvVGFibGU3XzElMjAoMikvQ2hhbmdlZCUyMFR5cGU8L0l0ZW1QYXRoPjwvSXRlbUxvY2F0aW9uPjxTdGFibGVFbnRyaWVzIC8+PC9JdGVtPjxJdGVtPjxJdGVtTG9jYXRpb24+PEl0ZW1UeXBlPkZvcm11bGE8L0l0ZW1UeXBlPjxJdGVtUGF0aD5TZWN0aW9uMS9UYWJsZTdfMSUyMCgyKS9SZW1vdmVkJTIwQmxhbmslMjBSb3dzPC9JdGVtUGF0aD48L0l0ZW1Mb2NhdGlvbj48U3RhYmxlRW50cmllcyAvPjwvSXRlbT48SXRlbT48SXRlbUxvY2F0aW9uPjxJdGVtVHlwZT5Gb3JtdWxhPC9JdGVtVHlwZT48SXRlbVBhdGg+U2VjdGlvbjEvVGFibGU3XzElMjAoMikvUmVwbGFjZWQlMjBWYWx1ZTwvSXRlbVBhdGg+PC9JdGVtTG9jYXRpb24+PFN0YWJsZUVudHJpZXMgLz48L0l0ZW0+PEl0ZW0+PEl0ZW1Mb2NhdGlvbj48SXRlbVR5cGU+Rm9ybXVsYTwvSXRlbVR5cGU+PEl0ZW1QYXRoPlNlY3Rpb24xL1RhYmxlN18xJTIwKDIpL1JlcGxhY2VkJTIwVmFsdWUxPC9JdGVtUGF0aD48L0l0ZW1Mb2NhdGlvbj48U3RhYmxlRW50cmllcyAvPjwvSXRlbT48SXRlbT48SXRlbUxvY2F0aW9uPjxJdGVtVHlwZT5Gb3JtdWxhPC9JdGVtVHlwZT48SXRlbVBhdGg+U2VjdGlvbjEvVGFibGU3XzElMjAoMikvUmVwbGFjZWQlMjBWYWx1ZTI8L0l0ZW1QYXRoPjwvSXRlbUxvY2F0aW9uPjxTdGFibGVFbnRyaWVzIC8+PC9JdGVtPjwvSXRlbXM+PC9Mb2NhbFBhY2thZ2VNZXRhZGF0YUZpbGU+FgAAAFBLBQYAAAAAAAAAAAAAAAAAAAAAAAAmAQAAAQAAANCMnd8BFdERjHoAwE/Cl+sBAAAAb1BDmkljikS78oCz8sfffgAAAAACAAAAAAAQZgAAAAEAACAAAAAodnRU/SFSBpBDLFlrAP1gddTEKvRoLhgnDA1/bm551gAAAAAOgAAAAAIAACAAAACt60g9VASdLsPAddX8/mGXeTQ8FQersMq+LScZeF2kC1AAAADKJLoLYgKxZ69CA57EtrGNCVmhqiPezYQhHbZ37TTdvHjKyDAVfC1kNDWgQUmc5dYlKIU5bq6Qci6b4XrxvFDWlu1eHSxLSXd8EbGm9kTjckAAAAA0SvLtbf7huDyR732BAcwMKTiNT0NTihSjTYxP42RP/mBbohkCLUKIoza2ohXWESuJV2FRZXN1f8sCNsY4VvMR</DataMashup>
</file>

<file path=customXml/itemProps1.xml><?xml version="1.0" encoding="utf-8"?>
<ds:datastoreItem xmlns:ds="http://schemas.openxmlformats.org/officeDocument/2006/customXml" ds:itemID="{146FA825-DF5A-41BB-9308-8A8B8BF3CB35}">
  <ds:schemaRefs>
    <ds:schemaRef ds:uri="http://schemas.microsoft.com/vsto/samples"/>
  </ds:schemaRefs>
</ds:datastoreItem>
</file>

<file path=docProps/app.xml><?xml version="1.0" encoding="utf-8"?>
<Properties xmlns="http://schemas.openxmlformats.org/officeDocument/2006/extended-properties">
  <Application>DevExpress Office File API/20.2.3.0</Application>
  <AppVersion>20.2</AppVersion>
</Properties>
</file>

<file path=docProps/core.xml><?xml version="1.0" encoding="utf-8"?>
<cp:coreProperties xmlns:dc="http://purl.org/dc/elements/1.1/" xmlns:dcterms="http://purl.org/dc/terms/" xmlns:xsi="http://www.w3.org/2001/XMLSchema-instance" xmlns:cp="http://schemas.openxmlformats.org/package/2006/metadata/core-properties">
  <dc:creator>DR. NISHTHA JAIN</dc:creator>
  <cp:lastModifiedBy>DESKTOP-6RPNFA2\Sushant Singh</cp:lastModifiedBy>
  <dcterms:created xsi:type="dcterms:W3CDTF">2025-09-27T14:09:13Z</dcterms:created>
  <dcterms:modified xsi:type="dcterms:W3CDTF">2025-11-08T14:53:10Z</dcterms:modified>
</cp:coreProperties>
</file>